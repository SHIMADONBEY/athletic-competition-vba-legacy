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gitlab-workspace\athletic-suites-vba\athletic-competition-vba\"/>
    </mc:Choice>
  </mc:AlternateContent>
  <xr:revisionPtr revIDLastSave="0" documentId="13_ncr:1_{4801C65C-5E89-457B-8E10-024C97BF1764}" xr6:coauthVersionLast="47" xr6:coauthVersionMax="47" xr10:uidLastSave="{00000000-0000-0000-0000-000000000000}"/>
  <bookViews>
    <workbookView xWindow="-28920" yWindow="-120" windowWidth="29040" windowHeight="15840" activeTab="7" xr2:uid="{EAAE836D-03B7-41A0-9E5F-1EE55F6F67C4}"/>
  </bookViews>
  <sheets>
    <sheet name="コード表" sheetId="1" r:id="rId1"/>
    <sheet name="メッセージ表" sheetId="3" r:id="rId2"/>
    <sheet name="大会設定" sheetId="2" r:id="rId3"/>
    <sheet name="競技役員" sheetId="10" r:id="rId4"/>
    <sheet name="種目" sheetId="4" r:id="rId5"/>
    <sheet name="ラウンド" sheetId="5" r:id="rId6"/>
    <sheet name="チーム" sheetId="6" r:id="rId7"/>
    <sheet name="選手" sheetId="7" r:id="rId8"/>
    <sheet name="歴代記録" sheetId="11" r:id="rId9"/>
    <sheet name="気象状況" sheetId="8" r:id="rId10"/>
    <sheet name="上位入賞" sheetId="9" r:id="rId11"/>
  </sheets>
  <functionGroups builtInGroupCount="19"/>
  <definedNames>
    <definedName name="Code_Category">コード表!$Y$4:$AC$10</definedName>
    <definedName name="Code_Event">コード表!$AE$4:$AJ$78</definedName>
    <definedName name="Code_Group_Strategy">コード表!$AL$4:$AN$6</definedName>
    <definedName name="Code_Lane_Strategy">コード表!$AP$4:$AR$7</definedName>
    <definedName name="Code_Point">コード表!$Q$4:$S$5</definedName>
    <definedName name="Code_Reaction">コード表!$I$4:$K$5</definedName>
    <definedName name="Code_Result_Unit">コード表!$M$4:$O$8</definedName>
    <definedName name="Code_Same_Score">コード表!$U$4:$W$6</definedName>
    <definedName name="Code_Sex">コード表!$A$4:$C$6</definedName>
    <definedName name="Code_Wind">コード表!$E$4:$G$5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" i="11" l="1"/>
  <c r="R24" i="11"/>
  <c r="Q23" i="11"/>
  <c r="R23" i="11"/>
  <c r="Q22" i="11"/>
  <c r="R22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L4" i="6"/>
  <c r="L5" i="6"/>
  <c r="C17" i="3" l="1"/>
  <c r="A17" i="3" s="1"/>
  <c r="O7" i="1" l="1"/>
  <c r="O6" i="1"/>
  <c r="O8" i="1"/>
  <c r="N53" i="4" l="1"/>
  <c r="A53" i="4" s="1"/>
  <c r="O53" i="4" s="1"/>
  <c r="P53" i="4"/>
  <c r="Q53" i="4"/>
  <c r="R53" i="4"/>
  <c r="S53" i="4"/>
  <c r="T53" i="4"/>
  <c r="U53" i="4" l="1"/>
  <c r="A15" i="5"/>
  <c r="P15" i="5"/>
  <c r="Q15" i="5"/>
  <c r="A14" i="5"/>
  <c r="P14" i="5"/>
  <c r="Q14" i="5"/>
  <c r="P13" i="5"/>
  <c r="Q13" i="5"/>
  <c r="P9" i="5"/>
  <c r="P10" i="5"/>
  <c r="Q7" i="5"/>
  <c r="Q8" i="5"/>
  <c r="Q11" i="5"/>
  <c r="Q12" i="5"/>
  <c r="Q6" i="5"/>
  <c r="P4" i="5"/>
  <c r="AR4" i="1"/>
  <c r="AR5" i="1"/>
  <c r="Q4" i="5" s="1"/>
  <c r="AR6" i="1"/>
  <c r="AR7" i="1"/>
  <c r="Q9" i="5" s="1"/>
  <c r="AN4" i="1"/>
  <c r="AN5" i="1"/>
  <c r="P5" i="5" s="1"/>
  <c r="AN6" i="1"/>
  <c r="P7" i="5" s="1"/>
  <c r="N52" i="4"/>
  <c r="A52" i="4" s="1"/>
  <c r="O52" i="4" s="1"/>
  <c r="P52" i="4"/>
  <c r="Q52" i="4"/>
  <c r="R52" i="4"/>
  <c r="S52" i="4"/>
  <c r="T52" i="4"/>
  <c r="N51" i="4"/>
  <c r="A51" i="4" s="1"/>
  <c r="O51" i="4" s="1"/>
  <c r="P51" i="4"/>
  <c r="Q51" i="4"/>
  <c r="R51" i="4"/>
  <c r="S51" i="4"/>
  <c r="T51" i="4"/>
  <c r="N50" i="4"/>
  <c r="A50" i="4" s="1"/>
  <c r="O50" i="4" s="1"/>
  <c r="P50" i="4"/>
  <c r="Q50" i="4"/>
  <c r="R50" i="4"/>
  <c r="S50" i="4"/>
  <c r="T50" i="4"/>
  <c r="N49" i="4"/>
  <c r="A49" i="4" s="1"/>
  <c r="P49" i="4"/>
  <c r="Q49" i="4"/>
  <c r="R49" i="4"/>
  <c r="S49" i="4"/>
  <c r="T49" i="4"/>
  <c r="N48" i="4"/>
  <c r="A48" i="4" s="1"/>
  <c r="O48" i="4" s="1"/>
  <c r="P48" i="4"/>
  <c r="Q48" i="4"/>
  <c r="R48" i="4"/>
  <c r="S48" i="4"/>
  <c r="T48" i="4"/>
  <c r="N47" i="4"/>
  <c r="A47" i="4" s="1"/>
  <c r="O47" i="4" s="1"/>
  <c r="P47" i="4"/>
  <c r="Q47" i="4"/>
  <c r="R47" i="4"/>
  <c r="S47" i="4"/>
  <c r="T47" i="4"/>
  <c r="N46" i="4"/>
  <c r="A46" i="4" s="1"/>
  <c r="O46" i="4" s="1"/>
  <c r="P46" i="4"/>
  <c r="Q46" i="4"/>
  <c r="R46" i="4"/>
  <c r="S46" i="4"/>
  <c r="T46" i="4"/>
  <c r="N45" i="4"/>
  <c r="A45" i="4" s="1"/>
  <c r="O45" i="4" s="1"/>
  <c r="P45" i="4"/>
  <c r="Q45" i="4"/>
  <c r="R45" i="4"/>
  <c r="S45" i="4"/>
  <c r="T45" i="4"/>
  <c r="N44" i="4"/>
  <c r="A44" i="4" s="1"/>
  <c r="O44" i="4" s="1"/>
  <c r="P44" i="4"/>
  <c r="Q44" i="4"/>
  <c r="R44" i="4"/>
  <c r="S44" i="4"/>
  <c r="T44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P6" i="5" l="1"/>
  <c r="Q5" i="5"/>
  <c r="Q10" i="5"/>
  <c r="P12" i="5"/>
  <c r="P8" i="5"/>
  <c r="P11" i="5"/>
  <c r="U52" i="4"/>
  <c r="U48" i="4"/>
  <c r="U50" i="4"/>
  <c r="U51" i="4"/>
  <c r="U44" i="4"/>
  <c r="U45" i="4"/>
  <c r="U46" i="4"/>
  <c r="U47" i="4"/>
  <c r="U49" i="4"/>
  <c r="O49" i="4"/>
  <c r="N43" i="4" l="1"/>
  <c r="A43" i="4" s="1"/>
  <c r="O43" i="4" s="1"/>
  <c r="P43" i="4"/>
  <c r="Q43" i="4"/>
  <c r="N42" i="4"/>
  <c r="A42" i="4" s="1"/>
  <c r="P42" i="4"/>
  <c r="Q42" i="4"/>
  <c r="N41" i="4"/>
  <c r="A41" i="4" s="1"/>
  <c r="P41" i="4"/>
  <c r="Q41" i="4"/>
  <c r="N40" i="4"/>
  <c r="A40" i="4" s="1"/>
  <c r="P40" i="4"/>
  <c r="Q40" i="4"/>
  <c r="N39" i="4"/>
  <c r="A39" i="4" s="1"/>
  <c r="P39" i="4"/>
  <c r="Q39" i="4"/>
  <c r="N38" i="4"/>
  <c r="A38" i="4" s="1"/>
  <c r="P38" i="4"/>
  <c r="Q38" i="4"/>
  <c r="N37" i="4"/>
  <c r="A37" i="4" s="1"/>
  <c r="P37" i="4"/>
  <c r="Q37" i="4"/>
  <c r="N36" i="4"/>
  <c r="A36" i="4" s="1"/>
  <c r="P36" i="4"/>
  <c r="Q36" i="4"/>
  <c r="N35" i="4"/>
  <c r="A35" i="4" s="1"/>
  <c r="P35" i="4"/>
  <c r="Q35" i="4"/>
  <c r="N34" i="4"/>
  <c r="A34" i="4" s="1"/>
  <c r="P34" i="4"/>
  <c r="Q34" i="4"/>
  <c r="N33" i="4"/>
  <c r="A33" i="4" s="1"/>
  <c r="P33" i="4"/>
  <c r="Q33" i="4"/>
  <c r="N32" i="4"/>
  <c r="A32" i="4" s="1"/>
  <c r="O32" i="4" s="1"/>
  <c r="P32" i="4"/>
  <c r="Q32" i="4"/>
  <c r="N31" i="4"/>
  <c r="A31" i="4" s="1"/>
  <c r="P31" i="4"/>
  <c r="Q31" i="4"/>
  <c r="N30" i="4"/>
  <c r="A30" i="4" s="1"/>
  <c r="P30" i="4"/>
  <c r="Q30" i="4"/>
  <c r="N29" i="4"/>
  <c r="A29" i="4" s="1"/>
  <c r="P29" i="4"/>
  <c r="Q29" i="4"/>
  <c r="N28" i="4"/>
  <c r="A28" i="4" s="1"/>
  <c r="P28" i="4"/>
  <c r="Q28" i="4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N27" i="4"/>
  <c r="A27" i="4" s="1"/>
  <c r="O27" i="4" s="1"/>
  <c r="P27" i="4"/>
  <c r="Q27" i="4"/>
  <c r="N26" i="4"/>
  <c r="A26" i="4" s="1"/>
  <c r="P26" i="4"/>
  <c r="Q26" i="4"/>
  <c r="N25" i="4"/>
  <c r="A25" i="4" s="1"/>
  <c r="O25" i="4" s="1"/>
  <c r="P25" i="4"/>
  <c r="Q25" i="4"/>
  <c r="N24" i="4"/>
  <c r="A24" i="4" s="1"/>
  <c r="P24" i="4"/>
  <c r="Q24" i="4"/>
  <c r="N23" i="4"/>
  <c r="A23" i="4" s="1"/>
  <c r="P23" i="4"/>
  <c r="Q23" i="4"/>
  <c r="N22" i="4"/>
  <c r="A22" i="4" s="1"/>
  <c r="P22" i="4"/>
  <c r="Q22" i="4"/>
  <c r="N21" i="4"/>
  <c r="A21" i="4" s="1"/>
  <c r="O21" i="4" s="1"/>
  <c r="P21" i="4"/>
  <c r="Q21" i="4"/>
  <c r="N20" i="4"/>
  <c r="A20" i="4" s="1"/>
  <c r="O20" i="4" s="1"/>
  <c r="P20" i="4"/>
  <c r="Q20" i="4"/>
  <c r="N19" i="4"/>
  <c r="A19" i="4" s="1"/>
  <c r="P19" i="4"/>
  <c r="Q19" i="4"/>
  <c r="N18" i="4"/>
  <c r="A18" i="4" s="1"/>
  <c r="O18" i="4" s="1"/>
  <c r="P18" i="4"/>
  <c r="Q18" i="4"/>
  <c r="N17" i="4"/>
  <c r="A17" i="4" s="1"/>
  <c r="P17" i="4"/>
  <c r="Q17" i="4"/>
  <c r="N16" i="4"/>
  <c r="A16" i="4" s="1"/>
  <c r="P16" i="4"/>
  <c r="Q16" i="4"/>
  <c r="Q4" i="4"/>
  <c r="Q5" i="4"/>
  <c r="Q6" i="4"/>
  <c r="Q7" i="4"/>
  <c r="Q8" i="4"/>
  <c r="Q9" i="4"/>
  <c r="Q10" i="4"/>
  <c r="Q11" i="4"/>
  <c r="Q12" i="4"/>
  <c r="Q13" i="4"/>
  <c r="Q14" i="4"/>
  <c r="Q15" i="4"/>
  <c r="P4" i="4"/>
  <c r="P5" i="4"/>
  <c r="P6" i="4"/>
  <c r="P7" i="4"/>
  <c r="P8" i="4"/>
  <c r="P9" i="4"/>
  <c r="P10" i="4"/>
  <c r="P11" i="4"/>
  <c r="P12" i="4"/>
  <c r="P13" i="4"/>
  <c r="P14" i="4"/>
  <c r="P15" i="4"/>
  <c r="AC4" i="1"/>
  <c r="AC5" i="1"/>
  <c r="AC6" i="1"/>
  <c r="AC7" i="1"/>
  <c r="AC8" i="1"/>
  <c r="AC9" i="1"/>
  <c r="AC10" i="1"/>
  <c r="N4" i="4"/>
  <c r="A4" i="4" s="1"/>
  <c r="N5" i="4"/>
  <c r="N6" i="4"/>
  <c r="N7" i="4"/>
  <c r="N8" i="4"/>
  <c r="N9" i="4"/>
  <c r="N10" i="4"/>
  <c r="N11" i="4"/>
  <c r="N12" i="4"/>
  <c r="N13" i="4"/>
  <c r="N14" i="4"/>
  <c r="N15" i="4"/>
  <c r="A15" i="4" s="1"/>
  <c r="O15" i="4" s="1"/>
  <c r="R12" i="4" l="1"/>
  <c r="R10" i="4"/>
  <c r="R9" i="4"/>
  <c r="R13" i="4"/>
  <c r="R11" i="4"/>
  <c r="R6" i="4"/>
  <c r="R8" i="4"/>
  <c r="R7" i="4"/>
  <c r="R4" i="4"/>
  <c r="R5" i="4"/>
  <c r="A5" i="4"/>
  <c r="O4" i="4"/>
  <c r="O22" i="4"/>
  <c r="O26" i="4"/>
  <c r="O28" i="4"/>
  <c r="O33" i="4"/>
  <c r="O34" i="4"/>
  <c r="O35" i="4"/>
  <c r="O36" i="4"/>
  <c r="O37" i="4"/>
  <c r="O38" i="4"/>
  <c r="O39" i="4"/>
  <c r="O40" i="4"/>
  <c r="O41" i="4"/>
  <c r="O17" i="4"/>
  <c r="O31" i="4"/>
  <c r="O16" i="4"/>
  <c r="O24" i="4"/>
  <c r="O30" i="4"/>
  <c r="O19" i="4"/>
  <c r="O23" i="4"/>
  <c r="O29" i="4"/>
  <c r="O42" i="4"/>
  <c r="U39" i="4"/>
  <c r="U38" i="4"/>
  <c r="U33" i="4"/>
  <c r="U34" i="4"/>
  <c r="U36" i="4"/>
  <c r="U35" i="4"/>
  <c r="U37" i="4"/>
  <c r="U43" i="4"/>
  <c r="U42" i="4"/>
  <c r="U41" i="4"/>
  <c r="U40" i="4"/>
  <c r="U32" i="4"/>
  <c r="U29" i="4"/>
  <c r="U31" i="4"/>
  <c r="U28" i="4"/>
  <c r="U30" i="4"/>
  <c r="U24" i="4"/>
  <c r="U22" i="4"/>
  <c r="U27" i="4"/>
  <c r="U26" i="4"/>
  <c r="U25" i="4"/>
  <c r="U23" i="4"/>
  <c r="U21" i="4"/>
  <c r="U20" i="4"/>
  <c r="U19" i="4"/>
  <c r="U18" i="4"/>
  <c r="U17" i="4"/>
  <c r="U16" i="4"/>
  <c r="U15" i="4"/>
  <c r="U4" i="4"/>
  <c r="Q20" i="11"/>
  <c r="Q16" i="11"/>
  <c r="Q12" i="11"/>
  <c r="Q8" i="11"/>
  <c r="O5" i="4" l="1"/>
  <c r="U5" i="4"/>
  <c r="A6" i="4"/>
  <c r="O6" i="4" s="1"/>
  <c r="A4" i="5"/>
  <c r="A10" i="5"/>
  <c r="Q21" i="11"/>
  <c r="Q17" i="11"/>
  <c r="Q13" i="11"/>
  <c r="Q18" i="11"/>
  <c r="Q14" i="11"/>
  <c r="Q9" i="11"/>
  <c r="Q6" i="11"/>
  <c r="Q10" i="11"/>
  <c r="A7" i="4" l="1"/>
  <c r="U6" i="4"/>
  <c r="A8" i="4" l="1"/>
  <c r="O7" i="4"/>
  <c r="U7" i="4"/>
  <c r="Q4" i="11"/>
  <c r="Q7" i="11"/>
  <c r="Q11" i="11"/>
  <c r="Q5" i="11"/>
  <c r="Q19" i="11"/>
  <c r="Q15" i="11"/>
  <c r="A6" i="5"/>
  <c r="O8" i="4" l="1"/>
  <c r="A9" i="4"/>
  <c r="A10" i="4" s="1"/>
  <c r="U8" i="4"/>
  <c r="A11" i="5"/>
  <c r="O10" i="4" l="1"/>
  <c r="U10" i="4"/>
  <c r="A11" i="4"/>
  <c r="O9" i="4"/>
  <c r="U9" i="4"/>
  <c r="A7" i="5"/>
  <c r="A8" i="5"/>
  <c r="A5" i="5"/>
  <c r="O11" i="4" l="1"/>
  <c r="U11" i="4"/>
  <c r="A12" i="4"/>
  <c r="A13" i="4" s="1"/>
  <c r="A14" i="4" s="1"/>
  <c r="A9" i="5"/>
  <c r="O14" i="4" l="1"/>
  <c r="U14" i="4"/>
  <c r="O13" i="4"/>
  <c r="U13" i="4"/>
  <c r="O12" i="4"/>
  <c r="U12" i="4"/>
  <c r="A13" i="5"/>
  <c r="A12" i="5"/>
  <c r="W4" i="1" l="1"/>
  <c r="W5" i="1"/>
  <c r="W6" i="1"/>
  <c r="C6" i="1"/>
  <c r="S5" i="1"/>
  <c r="O5" i="1"/>
  <c r="K5" i="1"/>
  <c r="G5" i="1"/>
  <c r="C5" i="1"/>
  <c r="S4" i="1"/>
  <c r="G25" i="2" s="1"/>
  <c r="O4" i="1"/>
  <c r="K4" i="1"/>
  <c r="G4" i="1"/>
  <c r="C4" i="1"/>
  <c r="C3" i="3"/>
  <c r="T10" i="4" l="1"/>
  <c r="T12" i="4"/>
  <c r="T13" i="4"/>
  <c r="T11" i="4"/>
  <c r="T9" i="4"/>
  <c r="S11" i="4"/>
  <c r="S9" i="4"/>
  <c r="S10" i="4"/>
  <c r="S12" i="4"/>
  <c r="S13" i="4"/>
  <c r="A3" i="3"/>
  <c r="C4" i="3"/>
  <c r="A4" i="3" s="1"/>
  <c r="T6" i="4"/>
  <c r="T7" i="4"/>
  <c r="T5" i="4"/>
  <c r="T4" i="4"/>
  <c r="T8" i="4"/>
  <c r="S6" i="4"/>
  <c r="S5" i="4"/>
  <c r="S7" i="4"/>
  <c r="S4" i="4"/>
  <c r="S8" i="4"/>
  <c r="G26" i="2"/>
  <c r="C5" i="3" l="1"/>
  <c r="A5" i="3" l="1"/>
  <c r="C6" i="3"/>
  <c r="A6" i="3" l="1"/>
  <c r="C7" i="3"/>
  <c r="A7" i="3" s="1"/>
  <c r="C8" i="3" l="1"/>
  <c r="A8" i="3" l="1"/>
  <c r="C9" i="3"/>
  <c r="A9" i="3" l="1"/>
  <c r="C10" i="3"/>
  <c r="A10" i="3" l="1"/>
  <c r="C11" i="3"/>
  <c r="A11" i="3" l="1"/>
  <c r="C12" i="3"/>
  <c r="A12" i="3" l="1"/>
  <c r="C13" i="3"/>
  <c r="A13" i="3" l="1"/>
  <c r="C14" i="3"/>
  <c r="A14" i="3" l="1"/>
  <c r="C15" i="3"/>
  <c r="A15" i="3" l="1"/>
  <c r="C16" i="3"/>
  <c r="A1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平岡諒也</author>
  </authors>
  <commentList>
    <comment ref="E6" authorId="0" shapeId="0" xr:uid="{0DB524F6-4F66-44FE-B8DA-7F172C008607}">
      <text>
        <r>
          <rPr>
            <b/>
            <sz val="9"/>
            <color indexed="81"/>
            <rFont val="MS P ゴシック"/>
            <family val="3"/>
            <charset val="128"/>
          </rPr>
          <t>競技会コード(8桁):</t>
        </r>
        <r>
          <rPr>
            <sz val="9"/>
            <color indexed="81"/>
            <rFont val="MS P ゴシック"/>
            <family val="3"/>
            <charset val="128"/>
          </rPr>
          <t xml:space="preserve">
大会の公認には、
8桁の競技会コードが
必要です。</t>
        </r>
      </text>
    </comment>
    <comment ref="E10" authorId="0" shapeId="0" xr:uid="{A4468EDC-FD1A-4A59-BD3E-BAA5333B5C2C}">
      <text>
        <r>
          <rPr>
            <b/>
            <sz val="9"/>
            <color indexed="81"/>
            <rFont val="MS P ゴシック"/>
            <family val="3"/>
            <charset val="128"/>
          </rPr>
          <t>競技場コード(6桁):</t>
        </r>
        <r>
          <rPr>
            <sz val="9"/>
            <color indexed="81"/>
            <rFont val="MS P ゴシック"/>
            <family val="3"/>
            <charset val="128"/>
          </rPr>
          <t xml:space="preserve">
大会の公認には、
6桁の競技場コードが
必要です。</t>
        </r>
      </text>
    </comment>
    <comment ref="E17" authorId="0" shapeId="0" xr:uid="{6EEE921B-2C8B-413D-8B9A-06FDB336DE56}">
      <text>
        <r>
          <rPr>
            <b/>
            <sz val="9"/>
            <color indexed="81"/>
            <rFont val="MS P ゴシック"/>
            <family val="3"/>
            <charset val="128"/>
          </rPr>
          <t>主催:</t>
        </r>
        <r>
          <rPr>
            <sz val="9"/>
            <color indexed="81"/>
            <rFont val="MS P ゴシック"/>
            <family val="3"/>
            <charset val="128"/>
          </rPr>
          <t xml:space="preserve">
公認競技会である場合は、
主催団体が公認できるか確認してください。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平岡諒也</author>
  </authors>
  <commentList>
    <comment ref="F3" authorId="0" shapeId="0" xr:uid="{BE5699F6-DB50-4D89-94CC-79CBCA259232}">
      <text>
        <r>
          <rPr>
            <b/>
            <sz val="9"/>
            <color indexed="81"/>
            <rFont val="MS P ゴシック"/>
            <family val="3"/>
            <charset val="128"/>
          </rPr>
          <t>競技区分:</t>
        </r>
        <r>
          <rPr>
            <sz val="9"/>
            <color indexed="81"/>
            <rFont val="MS P ゴシック"/>
            <family val="3"/>
            <charset val="128"/>
          </rPr>
          <t xml:space="preserve">
種目を入力すると、
自動で入力します。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平岡諒也</author>
  </authors>
  <commentList>
    <comment ref="I3" authorId="0" shapeId="0" xr:uid="{FADB061F-5B36-485C-B33B-EBE56256ED4B}">
      <text>
        <r>
          <rPr>
            <b/>
            <sz val="9"/>
            <color indexed="81"/>
            <rFont val="MS P ゴシック"/>
            <family val="3"/>
            <charset val="128"/>
          </rPr>
          <t>順番の決め方:</t>
        </r>
        <r>
          <rPr>
            <sz val="9"/>
            <color indexed="81"/>
            <rFont val="MS P ゴシック"/>
            <family val="3"/>
            <charset val="128"/>
          </rPr>
          <t xml:space="preserve">
シードレーンは、
トラックまたはリレー種目のみ
有効です</t>
        </r>
      </text>
    </comment>
    <comment ref="J3" authorId="0" shapeId="0" xr:uid="{C1D47910-1735-4A90-8323-5DFD640FBE8E}">
      <text>
        <r>
          <rPr>
            <b/>
            <sz val="9"/>
            <color indexed="81"/>
            <rFont val="MS P ゴシック"/>
            <family val="3"/>
            <charset val="128"/>
          </rPr>
          <t>着取:</t>
        </r>
        <r>
          <rPr>
            <sz val="9"/>
            <color indexed="81"/>
            <rFont val="MS P ゴシック"/>
            <family val="3"/>
            <charset val="128"/>
          </rPr>
          <t xml:space="preserve">
トラックまたはリレー種目のみ記入</t>
        </r>
      </text>
    </comment>
    <comment ref="K3" authorId="0" shapeId="0" xr:uid="{1B5A77ED-FD09-42ED-965A-8F890A164474}">
      <text>
        <r>
          <rPr>
            <b/>
            <sz val="9"/>
            <color indexed="81"/>
            <rFont val="MS P ゴシック"/>
            <family val="3"/>
            <charset val="128"/>
          </rPr>
          <t>基準記録:</t>
        </r>
        <r>
          <rPr>
            <sz val="9"/>
            <color indexed="81"/>
            <rFont val="MS P ゴシック"/>
            <family val="3"/>
            <charset val="128"/>
          </rPr>
          <t xml:space="preserve">
フィールド種目のみ
記入</t>
        </r>
      </text>
    </comment>
    <comment ref="L3" authorId="0" shapeId="0" xr:uid="{F32F4D52-B587-488A-967E-A69DABDDAAAC}">
      <text>
        <r>
          <rPr>
            <b/>
            <sz val="9"/>
            <color indexed="81"/>
            <rFont val="MS P ゴシック"/>
            <family val="3"/>
            <charset val="128"/>
          </rPr>
          <t>＋α:</t>
        </r>
        <r>
          <rPr>
            <sz val="9"/>
            <color indexed="81"/>
            <rFont val="MS P ゴシック"/>
            <family val="3"/>
            <charset val="128"/>
          </rPr>
          <t xml:space="preserve">
トラックまたはリレー種目のみ記入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平岡諒也</author>
  </authors>
  <commentList>
    <comment ref="A4" authorId="0" shapeId="0" xr:uid="{FC464F04-1FF5-4EE0-A5C5-FB91B5DD8F93}">
      <text>
        <r>
          <rPr>
            <b/>
            <sz val="9"/>
            <color indexed="81"/>
            <rFont val="MS P ゴシック"/>
            <family val="3"/>
            <charset val="128"/>
          </rPr>
          <t>個人登録番号:</t>
        </r>
        <r>
          <rPr>
            <sz val="9"/>
            <color indexed="81"/>
            <rFont val="MS P ゴシック"/>
            <family val="3"/>
            <charset val="128"/>
          </rPr>
          <t xml:space="preserve">
陸上競技団体に登録している個人番号を入力してください。
例: JAAF-ID など</t>
        </r>
      </text>
    </comment>
    <comment ref="C4" authorId="0" shapeId="0" xr:uid="{D367C752-7356-41D3-8C79-EC867ED1DCD3}">
      <text>
        <r>
          <rPr>
            <b/>
            <sz val="9"/>
            <color indexed="81"/>
            <rFont val="MS P ゴシック"/>
            <family val="3"/>
            <charset val="128"/>
          </rPr>
          <t>Bib:</t>
        </r>
        <r>
          <rPr>
            <sz val="9"/>
            <color indexed="81"/>
            <rFont val="MS P ゴシック"/>
            <family val="3"/>
            <charset val="128"/>
          </rPr>
          <t xml:space="preserve">
アスリートビブスの
番号を入力してください。
申請中の場合はその旨を記載してください。</t>
        </r>
      </text>
    </comment>
  </commentList>
</comments>
</file>

<file path=xl/sharedStrings.xml><?xml version="1.0" encoding="utf-8"?>
<sst xmlns="http://schemas.openxmlformats.org/spreadsheetml/2006/main" count="1476" uniqueCount="831">
  <si>
    <t>種別</t>
    <rPh sb="0" eb="2">
      <t>シュベツ</t>
    </rPh>
    <phoneticPr fontId="1"/>
  </si>
  <si>
    <t>連番</t>
    <rPh sb="0" eb="2">
      <t>レンバン</t>
    </rPh>
    <phoneticPr fontId="1"/>
  </si>
  <si>
    <t>メッセージ概略</t>
    <rPh sb="5" eb="7">
      <t>ガイリャク</t>
    </rPh>
    <phoneticPr fontId="1"/>
  </si>
  <si>
    <t>メッセージ内容</t>
    <rPh sb="5" eb="7">
      <t>ナイヨウ</t>
    </rPh>
    <phoneticPr fontId="1"/>
  </si>
  <si>
    <t>FATAL</t>
  </si>
  <si>
    <t>予期せぬエラーが発生しました。
システム管理者にお問い合わせください。</t>
    <rPh sb="0" eb="2">
      <t>ヨキ</t>
    </rPh>
    <rPh sb="8" eb="10">
      <t>ハッセイ</t>
    </rPh>
    <rPh sb="20" eb="23">
      <t>カンリシャ</t>
    </rPh>
    <rPh sb="25" eb="26">
      <t>ト</t>
    </rPh>
    <rPh sb="27" eb="28">
      <t>ア</t>
    </rPh>
    <phoneticPr fontId="1"/>
  </si>
  <si>
    <t>コード</t>
    <phoneticPr fontId="1"/>
  </si>
  <si>
    <t>システムエラー</t>
    <phoneticPr fontId="1"/>
  </si>
  <si>
    <t>○ 性別</t>
    <rPh sb="2" eb="4">
      <t>セイベツ</t>
    </rPh>
    <phoneticPr fontId="1"/>
  </si>
  <si>
    <t>○ 風力</t>
    <rPh sb="2" eb="4">
      <t>フウリョク</t>
    </rPh>
    <phoneticPr fontId="1"/>
  </si>
  <si>
    <t>○ R.T.</t>
    <phoneticPr fontId="1"/>
  </si>
  <si>
    <t>○ 計測単位</t>
    <rPh sb="2" eb="4">
      <t>ケイソク</t>
    </rPh>
    <rPh sb="4" eb="6">
      <t>タンイ</t>
    </rPh>
    <phoneticPr fontId="1"/>
  </si>
  <si>
    <t>○ Point</t>
    <phoneticPr fontId="1"/>
  </si>
  <si>
    <t>Code</t>
    <phoneticPr fontId="1"/>
  </si>
  <si>
    <t>Value</t>
    <phoneticPr fontId="1"/>
  </si>
  <si>
    <t>男子</t>
    <rPh sb="0" eb="2">
      <t>ダンシ</t>
    </rPh>
    <phoneticPr fontId="1"/>
  </si>
  <si>
    <t>なし</t>
    <phoneticPr fontId="1"/>
  </si>
  <si>
    <t>1/100 秒</t>
    <rPh sb="6" eb="7">
      <t>ビョウ</t>
    </rPh>
    <phoneticPr fontId="1"/>
  </si>
  <si>
    <t>女子</t>
    <rPh sb="0" eb="2">
      <t>ジョシ</t>
    </rPh>
    <phoneticPr fontId="1"/>
  </si>
  <si>
    <t>あり</t>
    <phoneticPr fontId="1"/>
  </si>
  <si>
    <t>1/10 秒</t>
    <rPh sb="5" eb="6">
      <t>ビョウ</t>
    </rPh>
    <phoneticPr fontId="1"/>
  </si>
  <si>
    <t>男女混合</t>
    <rPh sb="0" eb="2">
      <t>ダンジョ</t>
    </rPh>
    <rPh sb="2" eb="4">
      <t>コンゴウ</t>
    </rPh>
    <phoneticPr fontId="1"/>
  </si>
  <si>
    <t>1 秒</t>
    <rPh sb="2" eb="3">
      <t>ビョウ</t>
    </rPh>
    <phoneticPr fontId="1"/>
  </si>
  <si>
    <t>競技会設定</t>
    <rPh sb="0" eb="2">
      <t>キョウギ</t>
    </rPh>
    <rPh sb="2" eb="3">
      <t>カイ</t>
    </rPh>
    <rPh sb="3" eb="5">
      <t>セッテイ</t>
    </rPh>
    <phoneticPr fontId="1"/>
  </si>
  <si>
    <t>基本設定</t>
    <rPh sb="0" eb="2">
      <t>キホン</t>
    </rPh>
    <rPh sb="2" eb="4">
      <t>セッテイ</t>
    </rPh>
    <phoneticPr fontId="1"/>
  </si>
  <si>
    <t>競技会名</t>
    <rPh sb="0" eb="3">
      <t>キョウギカイ</t>
    </rPh>
    <rPh sb="3" eb="4">
      <t>メイ</t>
    </rPh>
    <phoneticPr fontId="1"/>
  </si>
  <si>
    <t>競技会コード</t>
    <rPh sb="0" eb="3">
      <t>キョウギカイ</t>
    </rPh>
    <phoneticPr fontId="1"/>
  </si>
  <si>
    <t>競技場名</t>
    <rPh sb="0" eb="3">
      <t>キョウギジョウ</t>
    </rPh>
    <rPh sb="3" eb="4">
      <t>メイ</t>
    </rPh>
    <phoneticPr fontId="1"/>
  </si>
  <si>
    <t>競技場コード</t>
    <rPh sb="0" eb="3">
      <t>キョウギジョウ</t>
    </rPh>
    <phoneticPr fontId="1"/>
  </si>
  <si>
    <t>開催地</t>
    <rPh sb="0" eb="2">
      <t>カイサイ</t>
    </rPh>
    <rPh sb="2" eb="3">
      <t>チ</t>
    </rPh>
    <phoneticPr fontId="1"/>
  </si>
  <si>
    <t>開催年</t>
    <rPh sb="0" eb="2">
      <t>カイサイ</t>
    </rPh>
    <rPh sb="2" eb="3">
      <t>ネン</t>
    </rPh>
    <phoneticPr fontId="1"/>
  </si>
  <si>
    <t>開催期間(自)</t>
    <rPh sb="0" eb="2">
      <t>カイサイ</t>
    </rPh>
    <rPh sb="2" eb="4">
      <t>キカン</t>
    </rPh>
    <rPh sb="5" eb="6">
      <t>ジ</t>
    </rPh>
    <phoneticPr fontId="1"/>
  </si>
  <si>
    <t>開催期間(至)</t>
    <rPh sb="0" eb="2">
      <t>カイサイ</t>
    </rPh>
    <rPh sb="2" eb="4">
      <t>キカン</t>
    </rPh>
    <rPh sb="5" eb="6">
      <t>イタル</t>
    </rPh>
    <phoneticPr fontId="1"/>
  </si>
  <si>
    <t>競技場</t>
    <rPh sb="0" eb="3">
      <t>キョウギジョウ</t>
    </rPh>
    <phoneticPr fontId="1"/>
  </si>
  <si>
    <t>競技会</t>
    <rPh sb="0" eb="3">
      <t>キョウギカイ</t>
    </rPh>
    <phoneticPr fontId="1"/>
  </si>
  <si>
    <t>開催期間</t>
    <rPh sb="0" eb="2">
      <t>カイサイ</t>
    </rPh>
    <rPh sb="2" eb="4">
      <t>キカン</t>
    </rPh>
    <phoneticPr fontId="1"/>
  </si>
  <si>
    <t>競技会名(英語)</t>
    <rPh sb="0" eb="3">
      <t>キョウギカイ</t>
    </rPh>
    <rPh sb="3" eb="4">
      <t>メイ</t>
    </rPh>
    <rPh sb="5" eb="7">
      <t>エイゴ</t>
    </rPh>
    <phoneticPr fontId="1"/>
  </si>
  <si>
    <t>競技場名(英語)</t>
    <rPh sb="0" eb="3">
      <t>キョウギジョウ</t>
    </rPh>
    <rPh sb="3" eb="4">
      <t>メイ</t>
    </rPh>
    <rPh sb="5" eb="7">
      <t>エイゴ</t>
    </rPh>
    <phoneticPr fontId="1"/>
  </si>
  <si>
    <t>開催団体</t>
    <rPh sb="0" eb="2">
      <t>カイサイ</t>
    </rPh>
    <rPh sb="2" eb="4">
      <t>ダンタイ</t>
    </rPh>
    <phoneticPr fontId="1"/>
  </si>
  <si>
    <t>主催</t>
    <rPh sb="0" eb="2">
      <t>シュサイ</t>
    </rPh>
    <phoneticPr fontId="1"/>
  </si>
  <si>
    <t>共催</t>
    <rPh sb="0" eb="2">
      <t>キョウサイ</t>
    </rPh>
    <phoneticPr fontId="1"/>
  </si>
  <si>
    <t>後援</t>
    <rPh sb="0" eb="2">
      <t>コウエン</t>
    </rPh>
    <phoneticPr fontId="1"/>
  </si>
  <si>
    <t>主管</t>
    <rPh sb="0" eb="2">
      <t>シュカン</t>
    </rPh>
    <phoneticPr fontId="1"/>
  </si>
  <si>
    <t>特別協賛</t>
    <rPh sb="0" eb="2">
      <t>トクベツ</t>
    </rPh>
    <rPh sb="2" eb="4">
      <t>キョウサン</t>
    </rPh>
    <phoneticPr fontId="1"/>
  </si>
  <si>
    <t>協賛</t>
    <rPh sb="0" eb="2">
      <t>キョウサン</t>
    </rPh>
    <phoneticPr fontId="1"/>
  </si>
  <si>
    <t>特別協力</t>
    <rPh sb="0" eb="2">
      <t>トクベツ</t>
    </rPh>
    <rPh sb="2" eb="4">
      <t>キョウリョク</t>
    </rPh>
    <phoneticPr fontId="1"/>
  </si>
  <si>
    <t>競技会設定</t>
    <rPh sb="0" eb="3">
      <t>キョウギカイ</t>
    </rPh>
    <rPh sb="3" eb="5">
      <t>セッテイ</t>
    </rPh>
    <phoneticPr fontId="1"/>
  </si>
  <si>
    <t>対抗得点</t>
    <rPh sb="0" eb="2">
      <t>タイコウ</t>
    </rPh>
    <rPh sb="2" eb="4">
      <t>トクテン</t>
    </rPh>
    <phoneticPr fontId="1"/>
  </si>
  <si>
    <t>参加得点</t>
    <rPh sb="0" eb="2">
      <t>サンカ</t>
    </rPh>
    <rPh sb="2" eb="4">
      <t>トクテン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</si>
  <si>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</si>
  <si>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</si>
  <si>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</si>
  <si>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</si>
  <si>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</si>
  <si>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</si>
  <si>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</si>
  <si>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</si>
  <si>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</si>
  <si>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</si>
  <si>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同順位</t>
    <rPh sb="0" eb="1">
      <t>ドウ</t>
    </rPh>
    <rPh sb="1" eb="3">
      <t>ジュンイ</t>
    </rPh>
    <phoneticPr fontId="1"/>
  </si>
  <si>
    <t>エントリー可能種目数</t>
    <rPh sb="5" eb="7">
      <t>カノウ</t>
    </rPh>
    <rPh sb="7" eb="9">
      <t>シュモク</t>
    </rPh>
    <rPh sb="9" eb="10">
      <t>スウ</t>
    </rPh>
    <phoneticPr fontId="1"/>
  </si>
  <si>
    <t>競技役員</t>
    <rPh sb="0" eb="2">
      <t>キョウギ</t>
    </rPh>
    <rPh sb="2" eb="4">
      <t>ヤクイン</t>
    </rPh>
    <phoneticPr fontId="1"/>
  </si>
  <si>
    <t>役員</t>
    <rPh sb="0" eb="2">
      <t>ヤクイン</t>
    </rPh>
    <phoneticPr fontId="1"/>
  </si>
  <si>
    <t>氏名</t>
    <rPh sb="0" eb="1">
      <t>シ</t>
    </rPh>
    <rPh sb="1" eb="2">
      <t>ナ</t>
    </rPh>
    <phoneticPr fontId="1"/>
  </si>
  <si>
    <t>総務</t>
    <rPh sb="0" eb="2">
      <t>ソウム</t>
    </rPh>
    <phoneticPr fontId="1"/>
  </si>
  <si>
    <t>トラック審判長</t>
    <rPh sb="4" eb="7">
      <t>シンパンチョウ</t>
    </rPh>
    <phoneticPr fontId="1"/>
  </si>
  <si>
    <t>競歩審判長</t>
    <rPh sb="0" eb="2">
      <t>キョウホ</t>
    </rPh>
    <rPh sb="2" eb="5">
      <t>シンパンチョウ</t>
    </rPh>
    <phoneticPr fontId="1"/>
  </si>
  <si>
    <t>スタート審判長</t>
    <rPh sb="4" eb="7">
      <t>シンパンチョウ</t>
    </rPh>
    <phoneticPr fontId="1"/>
  </si>
  <si>
    <t>跳躍審判長</t>
    <rPh sb="0" eb="2">
      <t>チョウヤク</t>
    </rPh>
    <rPh sb="2" eb="5">
      <t>シンパンチョウ</t>
    </rPh>
    <phoneticPr fontId="1"/>
  </si>
  <si>
    <t>投擲審判長</t>
    <rPh sb="0" eb="2">
      <t>トウテキ</t>
    </rPh>
    <rPh sb="2" eb="5">
      <t>シンパンチョウ</t>
    </rPh>
    <phoneticPr fontId="1"/>
  </si>
  <si>
    <t>招集所審判長</t>
    <rPh sb="0" eb="2">
      <t>ショウシュウ</t>
    </rPh>
    <rPh sb="2" eb="3">
      <t>ジョ</t>
    </rPh>
    <rPh sb="3" eb="6">
      <t>シンパンチョウ</t>
    </rPh>
    <phoneticPr fontId="1"/>
  </si>
  <si>
    <t>なし</t>
  </si>
  <si>
    <t>○ 同順位の配点</t>
    <rPh sb="2" eb="3">
      <t>ドウ</t>
    </rPh>
    <rPh sb="3" eb="5">
      <t>ジュンイ</t>
    </rPh>
    <rPh sb="6" eb="8">
      <t>ハイテン</t>
    </rPh>
    <phoneticPr fontId="1"/>
  </si>
  <si>
    <t>均等に案分</t>
    <rPh sb="0" eb="2">
      <t>キントウ</t>
    </rPh>
    <rPh sb="3" eb="5">
      <t>アンブン</t>
    </rPh>
    <phoneticPr fontId="1"/>
  </si>
  <si>
    <t>高い点数をとる</t>
    <rPh sb="0" eb="1">
      <t>タカ</t>
    </rPh>
    <rPh sb="2" eb="4">
      <t>テンスウ</t>
    </rPh>
    <phoneticPr fontId="1"/>
  </si>
  <si>
    <t>低い点数をとる</t>
    <rPh sb="0" eb="1">
      <t>ヒク</t>
    </rPh>
    <rPh sb="2" eb="4">
      <t>テンスウ</t>
    </rPh>
    <phoneticPr fontId="1"/>
  </si>
  <si>
    <t>競技場のレーン数</t>
    <rPh sb="0" eb="3">
      <t>キョウギジョウ</t>
    </rPh>
    <rPh sb="7" eb="8">
      <t>スウ</t>
    </rPh>
    <phoneticPr fontId="1"/>
  </si>
  <si>
    <t>区切り文字</t>
    <rPh sb="0" eb="2">
      <t>クギ</t>
    </rPh>
    <rPh sb="3" eb="5">
      <t>モジ</t>
    </rPh>
    <phoneticPr fontId="1"/>
  </si>
  <si>
    <t>分</t>
    <rPh sb="0" eb="1">
      <t>フン</t>
    </rPh>
    <phoneticPr fontId="1"/>
  </si>
  <si>
    <t>秒</t>
    <rPh sb="0" eb="1">
      <t>ビョウ</t>
    </rPh>
    <phoneticPr fontId="1"/>
  </si>
  <si>
    <t>メートル</t>
    <phoneticPr fontId="1"/>
  </si>
  <si>
    <t>m</t>
    <phoneticPr fontId="1"/>
  </si>
  <si>
    <t>クラス</t>
    <phoneticPr fontId="1"/>
  </si>
  <si>
    <t>性別</t>
    <rPh sb="0" eb="2">
      <t>セイベツ</t>
    </rPh>
    <phoneticPr fontId="1"/>
  </si>
  <si>
    <t>種目</t>
    <rPh sb="0" eb="2">
      <t>シュモク</t>
    </rPh>
    <phoneticPr fontId="1"/>
  </si>
  <si>
    <t>カテゴリ</t>
    <phoneticPr fontId="1"/>
  </si>
  <si>
    <t>規格</t>
    <rPh sb="0" eb="2">
      <t>キカク</t>
    </rPh>
    <phoneticPr fontId="1"/>
  </si>
  <si>
    <t>ID</t>
    <phoneticPr fontId="1"/>
  </si>
  <si>
    <t>ラウンド数</t>
    <rPh sb="4" eb="5">
      <t>スウ</t>
    </rPh>
    <phoneticPr fontId="1"/>
  </si>
  <si>
    <t>風力計測</t>
    <rPh sb="0" eb="2">
      <t>フウリョク</t>
    </rPh>
    <rPh sb="2" eb="4">
      <t>ケイソク</t>
    </rPh>
    <phoneticPr fontId="1"/>
  </si>
  <si>
    <t>ID2</t>
    <phoneticPr fontId="1"/>
  </si>
  <si>
    <t>110mH</t>
    <phoneticPr fontId="1"/>
  </si>
  <si>
    <t>○ 種目</t>
    <rPh sb="2" eb="4">
      <t>シュモク</t>
    </rPh>
    <phoneticPr fontId="1"/>
  </si>
  <si>
    <t>AT01</t>
    <phoneticPr fontId="1"/>
  </si>
  <si>
    <t>100m</t>
    <phoneticPr fontId="1"/>
  </si>
  <si>
    <t>AT02</t>
    <phoneticPr fontId="1"/>
  </si>
  <si>
    <t>200m</t>
    <phoneticPr fontId="1"/>
  </si>
  <si>
    <t>BT01</t>
    <phoneticPr fontId="1"/>
  </si>
  <si>
    <t>400m</t>
    <phoneticPr fontId="1"/>
  </si>
  <si>
    <t>CT01</t>
    <phoneticPr fontId="1"/>
  </si>
  <si>
    <t>800m</t>
    <phoneticPr fontId="1"/>
  </si>
  <si>
    <t>CT02</t>
    <phoneticPr fontId="1"/>
  </si>
  <si>
    <t>1500m</t>
    <phoneticPr fontId="1"/>
  </si>
  <si>
    <t>DT01</t>
    <phoneticPr fontId="1"/>
  </si>
  <si>
    <t>5000m</t>
    <phoneticPr fontId="1"/>
  </si>
  <si>
    <t>DT02</t>
    <phoneticPr fontId="1"/>
  </si>
  <si>
    <t>10000m</t>
    <phoneticPr fontId="1"/>
  </si>
  <si>
    <t>AH01</t>
    <phoneticPr fontId="1"/>
  </si>
  <si>
    <t>100mH</t>
    <phoneticPr fontId="1"/>
  </si>
  <si>
    <t>AH02</t>
    <phoneticPr fontId="1"/>
  </si>
  <si>
    <t>BH01</t>
    <phoneticPr fontId="1"/>
  </si>
  <si>
    <t>400mH</t>
    <phoneticPr fontId="1"/>
  </si>
  <si>
    <t>DH01</t>
    <phoneticPr fontId="1"/>
  </si>
  <si>
    <t>3000mSC</t>
    <phoneticPr fontId="1"/>
  </si>
  <si>
    <t>DW01</t>
    <phoneticPr fontId="1"/>
  </si>
  <si>
    <t>5000mW</t>
    <phoneticPr fontId="1"/>
  </si>
  <si>
    <t>DW02</t>
    <phoneticPr fontId="1"/>
  </si>
  <si>
    <t>10000mW</t>
    <phoneticPr fontId="1"/>
  </si>
  <si>
    <t>AT03</t>
    <phoneticPr fontId="1"/>
  </si>
  <si>
    <t>50m</t>
    <phoneticPr fontId="1"/>
  </si>
  <si>
    <t>AT04</t>
  </si>
  <si>
    <t>60m</t>
    <phoneticPr fontId="1"/>
  </si>
  <si>
    <t>AT05</t>
  </si>
  <si>
    <t>145m</t>
    <phoneticPr fontId="1"/>
  </si>
  <si>
    <t>AT06</t>
  </si>
  <si>
    <t>150m</t>
    <phoneticPr fontId="1"/>
  </si>
  <si>
    <t>BT02</t>
    <phoneticPr fontId="1"/>
  </si>
  <si>
    <t>300m</t>
    <phoneticPr fontId="1"/>
  </si>
  <si>
    <t>CT03</t>
    <phoneticPr fontId="1"/>
  </si>
  <si>
    <t>600m</t>
    <phoneticPr fontId="1"/>
  </si>
  <si>
    <t>CT04</t>
    <phoneticPr fontId="1"/>
  </si>
  <si>
    <t>1000m</t>
    <phoneticPr fontId="1"/>
  </si>
  <si>
    <t>CT05</t>
    <phoneticPr fontId="1"/>
  </si>
  <si>
    <t>2000m</t>
    <phoneticPr fontId="1"/>
  </si>
  <si>
    <t>CT06</t>
    <phoneticPr fontId="1"/>
  </si>
  <si>
    <t>3000m</t>
    <phoneticPr fontId="1"/>
  </si>
  <si>
    <t>DT03</t>
    <phoneticPr fontId="1"/>
  </si>
  <si>
    <t>20000m</t>
    <phoneticPr fontId="1"/>
  </si>
  <si>
    <t>AH03</t>
    <phoneticPr fontId="1"/>
  </si>
  <si>
    <t>60mH</t>
    <phoneticPr fontId="1"/>
  </si>
  <si>
    <t>AH04</t>
  </si>
  <si>
    <t>80mH</t>
    <phoneticPr fontId="1"/>
  </si>
  <si>
    <t>AH05</t>
  </si>
  <si>
    <t>200mH</t>
    <phoneticPr fontId="1"/>
  </si>
  <si>
    <t>BH02</t>
    <phoneticPr fontId="1"/>
  </si>
  <si>
    <t>300mH</t>
    <phoneticPr fontId="1"/>
  </si>
  <si>
    <t>DH02</t>
    <phoneticPr fontId="1"/>
  </si>
  <si>
    <t>1500mSC</t>
    <phoneticPr fontId="1"/>
  </si>
  <si>
    <t>DH03</t>
    <phoneticPr fontId="1"/>
  </si>
  <si>
    <t>2000mSC</t>
    <phoneticPr fontId="1"/>
  </si>
  <si>
    <t>DW03</t>
    <phoneticPr fontId="1"/>
  </si>
  <si>
    <t>3000mW</t>
    <phoneticPr fontId="1"/>
  </si>
  <si>
    <t>DW04</t>
    <phoneticPr fontId="1"/>
  </si>
  <si>
    <t>20000mW</t>
    <phoneticPr fontId="1"/>
  </si>
  <si>
    <t>トラック</t>
  </si>
  <si>
    <t>トラック</t>
    <phoneticPr fontId="1"/>
  </si>
  <si>
    <t>RL01</t>
    <phoneticPr fontId="1"/>
  </si>
  <si>
    <t>RL02</t>
  </si>
  <si>
    <t>RL03</t>
  </si>
  <si>
    <t>RL04</t>
  </si>
  <si>
    <t>RL05</t>
  </si>
  <si>
    <t>RL06</t>
  </si>
  <si>
    <t>4x100mR</t>
    <phoneticPr fontId="1"/>
  </si>
  <si>
    <t>4x400mR</t>
    <phoneticPr fontId="1"/>
  </si>
  <si>
    <t>4x200mR</t>
    <phoneticPr fontId="1"/>
  </si>
  <si>
    <t>100m+200m+300m+400mR</t>
    <phoneticPr fontId="1"/>
  </si>
  <si>
    <t>4x800mR</t>
    <phoneticPr fontId="1"/>
  </si>
  <si>
    <t>1200m+400m+800m+1600mR</t>
    <phoneticPr fontId="1"/>
  </si>
  <si>
    <t>RL07</t>
    <phoneticPr fontId="1"/>
  </si>
  <si>
    <t>4x1500mR</t>
    <phoneticPr fontId="1"/>
  </si>
  <si>
    <t>リレー</t>
    <phoneticPr fontId="1"/>
  </si>
  <si>
    <t>JH01</t>
    <phoneticPr fontId="1"/>
  </si>
  <si>
    <t>JH02</t>
  </si>
  <si>
    <t>JL01</t>
    <phoneticPr fontId="1"/>
  </si>
  <si>
    <t>JL02</t>
  </si>
  <si>
    <t>JL03</t>
  </si>
  <si>
    <t>JL04</t>
  </si>
  <si>
    <t>走高跳</t>
    <rPh sb="0" eb="3">
      <t>ハシリタカトビ</t>
    </rPh>
    <phoneticPr fontId="1"/>
  </si>
  <si>
    <t>棒高跳</t>
    <rPh sb="0" eb="3">
      <t>ボウタカト</t>
    </rPh>
    <phoneticPr fontId="1"/>
  </si>
  <si>
    <t>走幅跳</t>
    <rPh sb="0" eb="1">
      <t>ハシ</t>
    </rPh>
    <rPh sb="1" eb="3">
      <t>ハバト</t>
    </rPh>
    <phoneticPr fontId="1"/>
  </si>
  <si>
    <t>三段跳</t>
    <rPh sb="0" eb="3">
      <t>サンダントビ</t>
    </rPh>
    <phoneticPr fontId="1"/>
  </si>
  <si>
    <t>立幅跳</t>
    <rPh sb="0" eb="1">
      <t>タ</t>
    </rPh>
    <rPh sb="1" eb="3">
      <t>ハバト</t>
    </rPh>
    <phoneticPr fontId="1"/>
  </si>
  <si>
    <t>立五段跳</t>
    <rPh sb="0" eb="1">
      <t>タ</t>
    </rPh>
    <rPh sb="1" eb="3">
      <t>ゴダン</t>
    </rPh>
    <rPh sb="3" eb="4">
      <t>ト</t>
    </rPh>
    <phoneticPr fontId="1"/>
  </si>
  <si>
    <t>JH03</t>
    <phoneticPr fontId="1"/>
  </si>
  <si>
    <t>立高跳</t>
    <rPh sb="0" eb="1">
      <t>タ</t>
    </rPh>
    <rPh sb="1" eb="3">
      <t>タカト</t>
    </rPh>
    <phoneticPr fontId="1"/>
  </si>
  <si>
    <t>垂直跳躍</t>
    <rPh sb="0" eb="2">
      <t>スイチョク</t>
    </rPh>
    <rPh sb="2" eb="4">
      <t>チョウヤク</t>
    </rPh>
    <phoneticPr fontId="1"/>
  </si>
  <si>
    <t>水平跳躍</t>
    <rPh sb="0" eb="2">
      <t>スイヘイ</t>
    </rPh>
    <rPh sb="2" eb="4">
      <t>チョウヤク</t>
    </rPh>
    <phoneticPr fontId="1"/>
  </si>
  <si>
    <t>TH01</t>
    <phoneticPr fontId="1"/>
  </si>
  <si>
    <t>TH02</t>
  </si>
  <si>
    <t>TH03</t>
  </si>
  <si>
    <t>TH04</t>
  </si>
  <si>
    <t>TH05</t>
  </si>
  <si>
    <t>TH06</t>
  </si>
  <si>
    <t>TH07</t>
  </si>
  <si>
    <t>TH08</t>
  </si>
  <si>
    <t>TH09</t>
  </si>
  <si>
    <t>砲丸投</t>
    <rPh sb="0" eb="3">
      <t>ホウガンナ</t>
    </rPh>
    <phoneticPr fontId="1"/>
  </si>
  <si>
    <t>円盤投</t>
    <rPh sb="0" eb="3">
      <t>エンバンナ</t>
    </rPh>
    <phoneticPr fontId="1"/>
  </si>
  <si>
    <t>ハンマー投</t>
    <rPh sb="4" eb="5">
      <t>ナ</t>
    </rPh>
    <phoneticPr fontId="1"/>
  </si>
  <si>
    <t>やり投</t>
    <rPh sb="2" eb="3">
      <t>ナ</t>
    </rPh>
    <phoneticPr fontId="1"/>
  </si>
  <si>
    <t>こん棒投</t>
    <rPh sb="2" eb="3">
      <t>ボウ</t>
    </rPh>
    <rPh sb="3" eb="4">
      <t>ナ</t>
    </rPh>
    <phoneticPr fontId="1"/>
  </si>
  <si>
    <t>重量投</t>
    <rPh sb="0" eb="2">
      <t>ジュウリョウ</t>
    </rPh>
    <rPh sb="2" eb="3">
      <t>ナ</t>
    </rPh>
    <phoneticPr fontId="1"/>
  </si>
  <si>
    <t>ジャベリックスロー</t>
    <phoneticPr fontId="1"/>
  </si>
  <si>
    <t>ソフトボール投</t>
    <rPh sb="6" eb="7">
      <t>ナ</t>
    </rPh>
    <phoneticPr fontId="1"/>
  </si>
  <si>
    <t>ハンドボール投</t>
    <rPh sb="6" eb="7">
      <t>ナ</t>
    </rPh>
    <phoneticPr fontId="1"/>
  </si>
  <si>
    <t>投てき</t>
    <rPh sb="0" eb="1">
      <t>トウ</t>
    </rPh>
    <phoneticPr fontId="1"/>
  </si>
  <si>
    <t>English</t>
    <phoneticPr fontId="1"/>
  </si>
  <si>
    <t>100 Metres</t>
    <phoneticPr fontId="1"/>
  </si>
  <si>
    <t>200 Metres</t>
    <phoneticPr fontId="1"/>
  </si>
  <si>
    <t>400 Metres</t>
    <phoneticPr fontId="1"/>
  </si>
  <si>
    <t>800 Metres</t>
    <phoneticPr fontId="1"/>
  </si>
  <si>
    <t>1500 Metres</t>
    <phoneticPr fontId="1"/>
  </si>
  <si>
    <t>5000 Metres</t>
    <phoneticPr fontId="1"/>
  </si>
  <si>
    <t>10000 Metres</t>
    <phoneticPr fontId="1"/>
  </si>
  <si>
    <t>110 Metres Hurdles</t>
    <phoneticPr fontId="1"/>
  </si>
  <si>
    <t>100 Metres Hurdles</t>
    <phoneticPr fontId="1"/>
  </si>
  <si>
    <t>400 Metres Hurdles</t>
    <phoneticPr fontId="1"/>
  </si>
  <si>
    <t>3000 Metres Steeple Chase</t>
    <phoneticPr fontId="1"/>
  </si>
  <si>
    <t>5000 Metres Race Walk</t>
    <phoneticPr fontId="1"/>
  </si>
  <si>
    <t>10000 Metres Race Walk</t>
    <phoneticPr fontId="1"/>
  </si>
  <si>
    <t>50 Metres</t>
    <phoneticPr fontId="1"/>
  </si>
  <si>
    <t>60 Metres</t>
    <phoneticPr fontId="1"/>
  </si>
  <si>
    <t>145 Metres</t>
    <phoneticPr fontId="1"/>
  </si>
  <si>
    <t>150 Metres</t>
    <phoneticPr fontId="1"/>
  </si>
  <si>
    <t>300 Metres</t>
    <phoneticPr fontId="1"/>
  </si>
  <si>
    <t>600 Metres</t>
    <phoneticPr fontId="1"/>
  </si>
  <si>
    <t>1000 Metres</t>
    <phoneticPr fontId="1"/>
  </si>
  <si>
    <t>2000 Metres</t>
    <phoneticPr fontId="1"/>
  </si>
  <si>
    <t>3000 Metres</t>
    <phoneticPr fontId="1"/>
  </si>
  <si>
    <t>20000 Metres</t>
    <phoneticPr fontId="1"/>
  </si>
  <si>
    <t>60 Metres Hurdles</t>
    <phoneticPr fontId="1"/>
  </si>
  <si>
    <t>80 Metres Hurdles</t>
    <phoneticPr fontId="1"/>
  </si>
  <si>
    <t>200 Metres Hurdles</t>
    <phoneticPr fontId="1"/>
  </si>
  <si>
    <t>300 Metres Hurdles</t>
    <phoneticPr fontId="1"/>
  </si>
  <si>
    <t>1500 Metres Steeple Chase</t>
    <phoneticPr fontId="1"/>
  </si>
  <si>
    <t>2000 Metres Steeple Chase</t>
    <phoneticPr fontId="1"/>
  </si>
  <si>
    <t>3000 Metres Race Walk</t>
    <phoneticPr fontId="1"/>
  </si>
  <si>
    <t>20000 Metres Race Walk</t>
    <phoneticPr fontId="1"/>
  </si>
  <si>
    <t>4x100 Metres Relay</t>
    <phoneticPr fontId="1"/>
  </si>
  <si>
    <t>4x200 Metres Relay</t>
    <phoneticPr fontId="1"/>
  </si>
  <si>
    <t>4x400 Metres Relay</t>
    <phoneticPr fontId="1"/>
  </si>
  <si>
    <t>Medley Relay</t>
    <phoneticPr fontId="1"/>
  </si>
  <si>
    <t>4x800 Metres Relay</t>
    <phoneticPr fontId="1"/>
  </si>
  <si>
    <t>Distance Medley Relay</t>
    <phoneticPr fontId="1"/>
  </si>
  <si>
    <t>4x1500 Metres Relay</t>
    <phoneticPr fontId="1"/>
  </si>
  <si>
    <t>High Jump</t>
    <phoneticPr fontId="1"/>
  </si>
  <si>
    <t>Pole Vault</t>
    <phoneticPr fontId="1"/>
  </si>
  <si>
    <t>Long Jump</t>
    <phoneticPr fontId="1"/>
  </si>
  <si>
    <t>Triple Jump</t>
    <phoneticPr fontId="1"/>
  </si>
  <si>
    <t>Standing High Jump</t>
    <phoneticPr fontId="1"/>
  </si>
  <si>
    <t>Standing Long Jump</t>
    <phoneticPr fontId="1"/>
  </si>
  <si>
    <t>Standing Five Jump</t>
    <phoneticPr fontId="1"/>
  </si>
  <si>
    <t>Shot Put</t>
    <phoneticPr fontId="1"/>
  </si>
  <si>
    <t>Discus Throw</t>
    <phoneticPr fontId="1"/>
  </si>
  <si>
    <t>Hammer Throw</t>
    <phoneticPr fontId="1"/>
  </si>
  <si>
    <t>Javelin Throw</t>
    <phoneticPr fontId="1"/>
  </si>
  <si>
    <t>Club Throw</t>
    <phoneticPr fontId="1"/>
  </si>
  <si>
    <t>Weight Throw</t>
    <phoneticPr fontId="1"/>
  </si>
  <si>
    <t>Javelic Throw</t>
    <phoneticPr fontId="1"/>
  </si>
  <si>
    <t>Softball Throw</t>
    <phoneticPr fontId="1"/>
  </si>
  <si>
    <t>Handball Throw</t>
    <phoneticPr fontId="1"/>
  </si>
  <si>
    <t>７種競技</t>
    <rPh sb="1" eb="2">
      <t>シュ</t>
    </rPh>
    <rPh sb="2" eb="4">
      <t>キョウギ</t>
    </rPh>
    <phoneticPr fontId="1"/>
  </si>
  <si>
    <t>３種競技Ａ</t>
    <rPh sb="1" eb="2">
      <t>シュ</t>
    </rPh>
    <rPh sb="2" eb="4">
      <t>キョウギ</t>
    </rPh>
    <phoneticPr fontId="1"/>
  </si>
  <si>
    <t>10種競技</t>
    <rPh sb="2" eb="3">
      <t>シュ</t>
    </rPh>
    <rPh sb="3" eb="5">
      <t>キョウギ</t>
    </rPh>
    <phoneticPr fontId="1"/>
  </si>
  <si>
    <t>コンバインドＡ</t>
    <phoneticPr fontId="1"/>
  </si>
  <si>
    <t>コンバインドＢ</t>
    <phoneticPr fontId="1"/>
  </si>
  <si>
    <t>３種競技Ｂ</t>
    <rPh sb="1" eb="2">
      <t>シュ</t>
    </rPh>
    <rPh sb="2" eb="4">
      <t>キョウギ</t>
    </rPh>
    <phoneticPr fontId="1"/>
  </si>
  <si>
    <t>４種競技</t>
    <rPh sb="1" eb="2">
      <t>シュ</t>
    </rPh>
    <rPh sb="2" eb="4">
      <t>キョウギ</t>
    </rPh>
    <phoneticPr fontId="1"/>
  </si>
  <si>
    <t>CE01</t>
    <phoneticPr fontId="1"/>
  </si>
  <si>
    <t>CE02</t>
  </si>
  <si>
    <t>CE03</t>
  </si>
  <si>
    <t>CE04</t>
  </si>
  <si>
    <t>CE05</t>
  </si>
  <si>
    <t>CE06</t>
  </si>
  <si>
    <t>CE07</t>
  </si>
  <si>
    <t>CE08</t>
  </si>
  <si>
    <t>CE09</t>
  </si>
  <si>
    <t>CE10</t>
  </si>
  <si>
    <t>５種競技</t>
    <rPh sb="1" eb="2">
      <t>シュ</t>
    </rPh>
    <rPh sb="2" eb="4">
      <t>キョウギ</t>
    </rPh>
    <phoneticPr fontId="1"/>
  </si>
  <si>
    <t>８種競技</t>
    <rPh sb="1" eb="2">
      <t>シュ</t>
    </rPh>
    <rPh sb="2" eb="4">
      <t>キョウギ</t>
    </rPh>
    <phoneticPr fontId="1"/>
  </si>
  <si>
    <t>CE11</t>
  </si>
  <si>
    <t>14種競技</t>
    <rPh sb="2" eb="3">
      <t>シュ</t>
    </rPh>
    <rPh sb="3" eb="5">
      <t>キョウギ</t>
    </rPh>
    <phoneticPr fontId="1"/>
  </si>
  <si>
    <t>20種競技</t>
    <rPh sb="2" eb="3">
      <t>シュ</t>
    </rPh>
    <rPh sb="3" eb="5">
      <t>キョウギ</t>
    </rPh>
    <phoneticPr fontId="1"/>
  </si>
  <si>
    <t>Heptathlon</t>
    <phoneticPr fontId="1"/>
  </si>
  <si>
    <t>Decathlon</t>
    <phoneticPr fontId="1"/>
  </si>
  <si>
    <t>Combined A</t>
    <phoneticPr fontId="1"/>
  </si>
  <si>
    <t>Combined B</t>
    <phoneticPr fontId="1"/>
  </si>
  <si>
    <t>Tripartite A</t>
    <phoneticPr fontId="1"/>
  </si>
  <si>
    <t>Tripartite B</t>
    <phoneticPr fontId="1"/>
  </si>
  <si>
    <t>Tetrathlon</t>
    <phoneticPr fontId="1"/>
  </si>
  <si>
    <t>Pentathlon</t>
    <phoneticPr fontId="1"/>
  </si>
  <si>
    <t>Octathlon</t>
    <phoneticPr fontId="1"/>
  </si>
  <si>
    <t>Tetra-Decathlon</t>
    <phoneticPr fontId="1"/>
  </si>
  <si>
    <t>Icosathlon</t>
    <phoneticPr fontId="1"/>
  </si>
  <si>
    <t>▲</t>
    <phoneticPr fontId="1"/>
  </si>
  <si>
    <t>道路</t>
    <rPh sb="0" eb="2">
      <t>ドウロ</t>
    </rPh>
    <phoneticPr fontId="1"/>
  </si>
  <si>
    <t>ER01</t>
    <phoneticPr fontId="1"/>
  </si>
  <si>
    <t>ER02</t>
  </si>
  <si>
    <t>ER03</t>
  </si>
  <si>
    <t>ハーフマラソン</t>
    <phoneticPr fontId="1"/>
  </si>
  <si>
    <t>マラソン</t>
    <phoneticPr fontId="1"/>
  </si>
  <si>
    <t>100km</t>
    <phoneticPr fontId="1"/>
  </si>
  <si>
    <t>Marathon</t>
    <phoneticPr fontId="1"/>
  </si>
  <si>
    <t>Half-Marathon</t>
    <phoneticPr fontId="1"/>
  </si>
  <si>
    <t>100 kilo-Metres</t>
    <phoneticPr fontId="1"/>
  </si>
  <si>
    <t>EW01</t>
    <phoneticPr fontId="1"/>
  </si>
  <si>
    <t>EW02</t>
  </si>
  <si>
    <t>EW03</t>
  </si>
  <si>
    <t>EW04</t>
  </si>
  <si>
    <t>EW05</t>
  </si>
  <si>
    <t>EW06</t>
  </si>
  <si>
    <t>20kmW</t>
    <phoneticPr fontId="1"/>
  </si>
  <si>
    <t>35kmW</t>
    <phoneticPr fontId="1"/>
  </si>
  <si>
    <t>50kmW</t>
    <phoneticPr fontId="1"/>
  </si>
  <si>
    <t>10kmW</t>
    <phoneticPr fontId="1"/>
  </si>
  <si>
    <t>20 kilo-Metres Race Walk</t>
    <phoneticPr fontId="1"/>
  </si>
  <si>
    <t>35 kilo-Metres Race Walk</t>
    <phoneticPr fontId="1"/>
  </si>
  <si>
    <t>50 kilo-Metres Race Walk</t>
    <phoneticPr fontId="1"/>
  </si>
  <si>
    <t>10 kilo-Metres Race Walk</t>
    <phoneticPr fontId="1"/>
  </si>
  <si>
    <t>3kmW</t>
    <phoneticPr fontId="1"/>
  </si>
  <si>
    <t>5kmW</t>
    <phoneticPr fontId="1"/>
  </si>
  <si>
    <t>3 kilo-Metres Race Walk</t>
    <phoneticPr fontId="1"/>
  </si>
  <si>
    <t>5 kilo-Metres Race Walk</t>
    <phoneticPr fontId="1"/>
  </si>
  <si>
    <t>列4</t>
  </si>
  <si>
    <t>列5</t>
  </si>
  <si>
    <t>列8</t>
  </si>
  <si>
    <t>種目名2</t>
    <rPh sb="0" eb="2">
      <t>シュモクメイ2</t>
    </rPh>
    <phoneticPr fontId="1"/>
  </si>
  <si>
    <t>File</t>
    <phoneticPr fontId="1"/>
  </si>
  <si>
    <t>混成競技</t>
    <rPh sb="0" eb="2">
      <t>コンセイ</t>
    </rPh>
    <rPh sb="2" eb="4">
      <t>キョウギ</t>
    </rPh>
    <phoneticPr fontId="1"/>
  </si>
  <si>
    <t>TRK</t>
    <phoneticPr fontId="1"/>
  </si>
  <si>
    <t>REL</t>
    <phoneticPr fontId="1"/>
  </si>
  <si>
    <t>ROD</t>
    <phoneticPr fontId="1"/>
  </si>
  <si>
    <t>HIG</t>
    <phoneticPr fontId="1"/>
  </si>
  <si>
    <t>LNG</t>
    <phoneticPr fontId="1"/>
  </si>
  <si>
    <t>THR</t>
    <phoneticPr fontId="1"/>
  </si>
  <si>
    <t>DEC</t>
    <phoneticPr fontId="1"/>
  </si>
  <si>
    <t>CSV</t>
    <phoneticPr fontId="1"/>
  </si>
  <si>
    <t>track-race-vba.xlsm</t>
    <phoneticPr fontId="1"/>
  </si>
  <si>
    <t>relay-race-vba.xlsm</t>
    <phoneticPr fontId="1"/>
  </si>
  <si>
    <t>feild-height-vba.xlsm</t>
    <phoneticPr fontId="1"/>
  </si>
  <si>
    <t>field-length-vba.xlsm</t>
    <phoneticPr fontId="1"/>
  </si>
  <si>
    <t>combined-events-vba.xlsm</t>
    <phoneticPr fontId="1"/>
  </si>
  <si>
    <t>TRK.csv</t>
    <phoneticPr fontId="1"/>
  </si>
  <si>
    <t>REL.csv</t>
    <phoneticPr fontId="1"/>
  </si>
  <si>
    <t>ROD.csv</t>
    <phoneticPr fontId="1"/>
  </si>
  <si>
    <t>HIG.csv</t>
    <phoneticPr fontId="1"/>
  </si>
  <si>
    <t>LNG.csv</t>
    <phoneticPr fontId="1"/>
  </si>
  <si>
    <t>DEC.csv</t>
    <phoneticPr fontId="1"/>
  </si>
  <si>
    <t>ひな型</t>
    <rPh sb="2" eb="3">
      <t>ガタ</t>
    </rPh>
    <phoneticPr fontId="1"/>
  </si>
  <si>
    <t>ラウンド設定</t>
    <rPh sb="4" eb="6">
      <t>セッテイ</t>
    </rPh>
    <phoneticPr fontId="1"/>
  </si>
  <si>
    <t>ラウンドID</t>
    <phoneticPr fontId="1"/>
  </si>
  <si>
    <t>ラウンド名</t>
    <rPh sb="4" eb="5">
      <t>メイ</t>
    </rPh>
    <phoneticPr fontId="1"/>
  </si>
  <si>
    <t>開始日時</t>
    <rPh sb="0" eb="2">
      <t>カイシ</t>
    </rPh>
    <rPh sb="2" eb="4">
      <t>ニチジ</t>
    </rPh>
    <phoneticPr fontId="1"/>
  </si>
  <si>
    <t>組数</t>
    <rPh sb="0" eb="2">
      <t>クミスウ</t>
    </rPh>
    <phoneticPr fontId="1"/>
  </si>
  <si>
    <t>組の決め方</t>
    <rPh sb="0" eb="1">
      <t>クミ</t>
    </rPh>
    <rPh sb="2" eb="3">
      <t>キ</t>
    </rPh>
    <rPh sb="4" eb="5">
      <t>カタ</t>
    </rPh>
    <phoneticPr fontId="1"/>
  </si>
  <si>
    <t>順番の決め方</t>
    <rPh sb="0" eb="2">
      <t>ジュンバン</t>
    </rPh>
    <rPh sb="3" eb="4">
      <t>キ</t>
    </rPh>
    <rPh sb="5" eb="6">
      <t>カタ</t>
    </rPh>
    <phoneticPr fontId="1"/>
  </si>
  <si>
    <t>○ 種目カテゴリ</t>
    <rPh sb="2" eb="4">
      <t>シュモク</t>
    </rPh>
    <phoneticPr fontId="1"/>
  </si>
  <si>
    <t>実施種目設定</t>
    <rPh sb="0" eb="2">
      <t>ジッシ</t>
    </rPh>
    <rPh sb="2" eb="4">
      <t>シュモク</t>
    </rPh>
    <rPh sb="4" eb="6">
      <t>セッテイ</t>
    </rPh>
    <phoneticPr fontId="1"/>
  </si>
  <si>
    <t>競技区分</t>
    <rPh sb="0" eb="2">
      <t>キョウギ</t>
    </rPh>
    <rPh sb="2" eb="4">
      <t>クブン</t>
    </rPh>
    <phoneticPr fontId="1"/>
  </si>
  <si>
    <t>競技区分コード</t>
    <rPh sb="0" eb="2">
      <t>キョウギ</t>
    </rPh>
    <rPh sb="2" eb="4">
      <t>クブン</t>
    </rPh>
    <phoneticPr fontId="1"/>
  </si>
  <si>
    <t>風力計測有無</t>
    <rPh sb="0" eb="2">
      <t>フウリョク</t>
    </rPh>
    <rPh sb="2" eb="4">
      <t>ケイソク</t>
    </rPh>
    <rPh sb="4" eb="6">
      <t>ウム</t>
    </rPh>
    <phoneticPr fontId="1"/>
  </si>
  <si>
    <t>RT計測有無</t>
    <rPh sb="2" eb="4">
      <t>ケイソク</t>
    </rPh>
    <rPh sb="4" eb="6">
      <t>ウム</t>
    </rPh>
    <phoneticPr fontId="1"/>
  </si>
  <si>
    <t>種目ID</t>
    <rPh sb="0" eb="2">
      <t>シュモク</t>
    </rPh>
    <phoneticPr fontId="1"/>
  </si>
  <si>
    <t>均等</t>
    <rPh sb="0" eb="2">
      <t>キントウ</t>
    </rPh>
    <phoneticPr fontId="1"/>
  </si>
  <si>
    <t>成績の良い順</t>
    <rPh sb="0" eb="2">
      <t>セイセキ</t>
    </rPh>
    <rPh sb="3" eb="4">
      <t>ヨ</t>
    </rPh>
    <rPh sb="5" eb="6">
      <t>ジュン</t>
    </rPh>
    <phoneticPr fontId="1"/>
  </si>
  <si>
    <t>成績の悪い順</t>
    <rPh sb="0" eb="2">
      <t>セイセキ</t>
    </rPh>
    <rPh sb="3" eb="4">
      <t>ワル</t>
    </rPh>
    <rPh sb="5" eb="6">
      <t>ジュン</t>
    </rPh>
    <phoneticPr fontId="1"/>
  </si>
  <si>
    <t>ランダム</t>
    <phoneticPr fontId="1"/>
  </si>
  <si>
    <t>シードレーン</t>
    <phoneticPr fontId="1"/>
  </si>
  <si>
    <t>○ 組の決め方</t>
    <rPh sb="2" eb="3">
      <t>クミ</t>
    </rPh>
    <rPh sb="4" eb="5">
      <t>キ</t>
    </rPh>
    <rPh sb="6" eb="7">
      <t>カタ</t>
    </rPh>
    <phoneticPr fontId="1"/>
  </si>
  <si>
    <t>○ レーンの決め方</t>
    <rPh sb="6" eb="7">
      <t>キ</t>
    </rPh>
    <rPh sb="8" eb="9">
      <t>カタ</t>
    </rPh>
    <phoneticPr fontId="1"/>
  </si>
  <si>
    <t>着取</t>
    <rPh sb="0" eb="1">
      <t>チャク</t>
    </rPh>
    <rPh sb="1" eb="2">
      <t>ド</t>
    </rPh>
    <phoneticPr fontId="1"/>
  </si>
  <si>
    <t>＋α</t>
    <phoneticPr fontId="1"/>
  </si>
  <si>
    <t>基準記録</t>
    <rPh sb="0" eb="2">
      <t>キジュン</t>
    </rPh>
    <rPh sb="2" eb="4">
      <t>キロク</t>
    </rPh>
    <phoneticPr fontId="1"/>
  </si>
  <si>
    <t>競技場所</t>
    <rPh sb="0" eb="2">
      <t>キョウギ</t>
    </rPh>
    <rPh sb="2" eb="4">
      <t>バショ</t>
    </rPh>
    <phoneticPr fontId="1"/>
  </si>
  <si>
    <t>1組ごとの
人数</t>
    <rPh sb="1" eb="2">
      <t>クミ</t>
    </rPh>
    <rPh sb="6" eb="7">
      <t>ニン</t>
    </rPh>
    <rPh sb="7" eb="8">
      <t>スウ</t>
    </rPh>
    <phoneticPr fontId="1"/>
  </si>
  <si>
    <t>招集開始
タイミング</t>
    <rPh sb="0" eb="2">
      <t>ショウシュウ</t>
    </rPh>
    <rPh sb="2" eb="4">
      <t>カイシ</t>
    </rPh>
    <phoneticPr fontId="1"/>
  </si>
  <si>
    <t>招集完了
タイミング</t>
    <rPh sb="0" eb="2">
      <t>ショウシュウ</t>
    </rPh>
    <rPh sb="2" eb="4">
      <t>カンリョウ</t>
    </rPh>
    <phoneticPr fontId="1"/>
  </si>
  <si>
    <t>招集する
組数</t>
    <rPh sb="0" eb="2">
      <t>ショウシュウ</t>
    </rPh>
    <rPh sb="5" eb="7">
      <t>クミスウ</t>
    </rPh>
    <phoneticPr fontId="1"/>
  </si>
  <si>
    <t>終了予定
日時</t>
    <rPh sb="0" eb="2">
      <t>シュウリョウ</t>
    </rPh>
    <rPh sb="2" eb="4">
      <t>ヨテイ</t>
    </rPh>
    <rPh sb="5" eb="7">
      <t>ニチジ</t>
    </rPh>
    <phoneticPr fontId="1"/>
  </si>
  <si>
    <t>タイムレース</t>
    <phoneticPr fontId="1"/>
  </si>
  <si>
    <t>女子3000m</t>
  </si>
  <si>
    <t>男子5000m</t>
  </si>
  <si>
    <t>4E69701A-F43D-4478-95C08C4E30DB0A01</t>
    <phoneticPr fontId="1"/>
  </si>
  <si>
    <t>4FC8D44D-6F74-48F7-B7825D9727FB3D9F</t>
    <phoneticPr fontId="1"/>
  </si>
  <si>
    <t>F4D6B3D8-4882-44CE-A47A3A6B99BA0190</t>
    <phoneticPr fontId="1"/>
  </si>
  <si>
    <t>16A51928-7F72-4A9B-AAF4EB8890297B06</t>
    <phoneticPr fontId="1"/>
  </si>
  <si>
    <t>1DB8DA65-E921-4968-A71A477B8EBF48DB</t>
    <phoneticPr fontId="1"/>
  </si>
  <si>
    <t>AF96AA07-01C2-41CF-979689D396E01F41</t>
    <phoneticPr fontId="1"/>
  </si>
  <si>
    <t>0BE4F711-12EC-4FB7-9F3AC171E6731203</t>
    <phoneticPr fontId="1"/>
  </si>
  <si>
    <t>B194E6A4-A54B-46AB-96E817A143BB5F1E</t>
    <phoneticPr fontId="1"/>
  </si>
  <si>
    <t>C1D251C3-03EC-487E-BFFDD05E4149FF4D</t>
    <phoneticPr fontId="1"/>
  </si>
  <si>
    <t>ERROR</t>
  </si>
  <si>
    <t>ラウンドデータ重複</t>
    <rPh sb="7" eb="9">
      <t>チョウフク</t>
    </rPh>
    <phoneticPr fontId="1"/>
  </si>
  <si>
    <t>以下のラウンドが重複しています。
種目とラウンドIDが重複しないように内容を確認してください。
種目: {0}, ラウンドID: {1}</t>
    <rPh sb="0" eb="2">
      <t>イカ</t>
    </rPh>
    <rPh sb="8" eb="10">
      <t>チョウフク</t>
    </rPh>
    <rPh sb="17" eb="19">
      <t>シュモク</t>
    </rPh>
    <rPh sb="27" eb="29">
      <t>チョウフク</t>
    </rPh>
    <rPh sb="35" eb="37">
      <t>ナイヨウ</t>
    </rPh>
    <rPh sb="38" eb="40">
      <t>カクニン</t>
    </rPh>
    <rPh sb="48" eb="50">
      <t>シュモク</t>
    </rPh>
    <phoneticPr fontId="1"/>
  </si>
  <si>
    <t>参加
人数</t>
    <rPh sb="0" eb="2">
      <t>サンカ</t>
    </rPh>
    <rPh sb="3" eb="5">
      <t>ニンズウ</t>
    </rPh>
    <phoneticPr fontId="1"/>
  </si>
  <si>
    <t>チーム登録</t>
    <rPh sb="3" eb="5">
      <t>トウロク</t>
    </rPh>
    <phoneticPr fontId="1"/>
  </si>
  <si>
    <t>チーム名</t>
    <rPh sb="3" eb="4">
      <t>メイ</t>
    </rPh>
    <phoneticPr fontId="1"/>
  </si>
  <si>
    <t>チーム名
(カナ)</t>
    <rPh sb="3" eb="4">
      <t>メイ</t>
    </rPh>
    <phoneticPr fontId="1"/>
  </si>
  <si>
    <t>チーム名
(ラテン表記)</t>
    <rPh sb="3" eb="4">
      <t>メイ</t>
    </rPh>
    <rPh sb="9" eb="11">
      <t>ヒョウキ</t>
    </rPh>
    <phoneticPr fontId="1"/>
  </si>
  <si>
    <t>チーム名
(正式名称)</t>
    <rPh sb="3" eb="4">
      <t>メイ</t>
    </rPh>
    <rPh sb="6" eb="8">
      <t>セイシキ</t>
    </rPh>
    <rPh sb="8" eb="10">
      <t>メイショウ</t>
    </rPh>
    <phoneticPr fontId="1"/>
  </si>
  <si>
    <t>所在地</t>
    <rPh sb="0" eb="3">
      <t>ショザイチ</t>
    </rPh>
    <phoneticPr fontId="1"/>
  </si>
  <si>
    <t>チーム区分</t>
    <rPh sb="3" eb="5">
      <t>クブン</t>
    </rPh>
    <phoneticPr fontId="1"/>
  </si>
  <si>
    <t>連絡先</t>
    <rPh sb="0" eb="3">
      <t>レンラクサキ</t>
    </rPh>
    <phoneticPr fontId="1"/>
  </si>
  <si>
    <t>緊急連絡先</t>
    <rPh sb="0" eb="2">
      <t>キンキュウ</t>
    </rPh>
    <rPh sb="2" eb="5">
      <t>レンラクサキ</t>
    </rPh>
    <phoneticPr fontId="1"/>
  </si>
  <si>
    <t>責任者氏名</t>
    <rPh sb="0" eb="3">
      <t>セキニンシャ</t>
    </rPh>
    <rPh sb="3" eb="4">
      <t>シ</t>
    </rPh>
    <rPh sb="4" eb="5">
      <t>メイ</t>
    </rPh>
    <phoneticPr fontId="1"/>
  </si>
  <si>
    <t>チームID</t>
    <phoneticPr fontId="1"/>
  </si>
  <si>
    <t>Bib</t>
    <phoneticPr fontId="1"/>
  </si>
  <si>
    <t>選手登録</t>
    <rPh sb="0" eb="2">
      <t>センシュ</t>
    </rPh>
    <rPh sb="2" eb="4">
      <t>トウロク</t>
    </rPh>
    <phoneticPr fontId="1"/>
  </si>
  <si>
    <t>氏名</t>
    <rPh sb="0" eb="2">
      <t>シメイ</t>
    </rPh>
    <phoneticPr fontId="1"/>
  </si>
  <si>
    <t>年</t>
    <rPh sb="0" eb="1">
      <t>ネン</t>
    </rPh>
    <phoneticPr fontId="1"/>
  </si>
  <si>
    <t>氏名
(カナ)</t>
    <rPh sb="0" eb="2">
      <t>シメイ</t>
    </rPh>
    <phoneticPr fontId="1"/>
  </si>
  <si>
    <t>氏名
(ラテン表記)</t>
    <rPh sb="0" eb="2">
      <t>シメイ</t>
    </rPh>
    <rPh sb="7" eb="9">
      <t>ヒョウキ</t>
    </rPh>
    <phoneticPr fontId="1"/>
  </si>
  <si>
    <t>所属チーム</t>
    <rPh sb="0" eb="2">
      <t>ショゾク</t>
    </rPh>
    <phoneticPr fontId="1"/>
  </si>
  <si>
    <t>所属地</t>
    <rPh sb="0" eb="2">
      <t>ショゾク</t>
    </rPh>
    <rPh sb="2" eb="3">
      <t>チ</t>
    </rPh>
    <phoneticPr fontId="1"/>
  </si>
  <si>
    <t>国籍</t>
    <rPh sb="0" eb="2">
      <t>コクセキ</t>
    </rPh>
    <phoneticPr fontId="1"/>
  </si>
  <si>
    <t>選手区分</t>
    <rPh sb="0" eb="2">
      <t>センシュ</t>
    </rPh>
    <rPh sb="2" eb="4">
      <t>クブン</t>
    </rPh>
    <phoneticPr fontId="1"/>
  </si>
  <si>
    <t>個人ID</t>
    <rPh sb="0" eb="2">
      <t>コジン</t>
    </rPh>
    <phoneticPr fontId="1"/>
  </si>
  <si>
    <t>OPN</t>
    <phoneticPr fontId="1"/>
  </si>
  <si>
    <t>個人登録番号</t>
    <rPh sb="0" eb="2">
      <t>コジン</t>
    </rPh>
    <rPh sb="2" eb="4">
      <t>トウロク</t>
    </rPh>
    <rPh sb="4" eb="6">
      <t>バンゴウ</t>
    </rPh>
    <phoneticPr fontId="1"/>
  </si>
  <si>
    <t>個人登録</t>
    <rPh sb="0" eb="2">
      <t>コジン</t>
    </rPh>
    <rPh sb="2" eb="4">
      <t>トウロク</t>
    </rPh>
    <phoneticPr fontId="1"/>
  </si>
  <si>
    <t>種目１</t>
    <rPh sb="0" eb="2">
      <t>シュモク</t>
    </rPh>
    <phoneticPr fontId="1"/>
  </si>
  <si>
    <t>種目２</t>
    <rPh sb="0" eb="2">
      <t>シュモク</t>
    </rPh>
    <phoneticPr fontId="1"/>
  </si>
  <si>
    <t>種目３</t>
    <rPh sb="0" eb="2">
      <t>シュモク</t>
    </rPh>
    <phoneticPr fontId="1"/>
  </si>
  <si>
    <t>種目４</t>
    <rPh sb="0" eb="2">
      <t>シュモク</t>
    </rPh>
    <phoneticPr fontId="1"/>
  </si>
  <si>
    <t>種目５</t>
    <rPh sb="0" eb="2">
      <t>シュモク</t>
    </rPh>
    <phoneticPr fontId="1"/>
  </si>
  <si>
    <t>種目６</t>
    <rPh sb="0" eb="2">
      <t>シュモク</t>
    </rPh>
    <phoneticPr fontId="1"/>
  </si>
  <si>
    <t>種目７</t>
    <rPh sb="0" eb="2">
      <t>シュモク</t>
    </rPh>
    <phoneticPr fontId="1"/>
  </si>
  <si>
    <t>種目８</t>
    <rPh sb="0" eb="2">
      <t>シュモク</t>
    </rPh>
    <phoneticPr fontId="1"/>
  </si>
  <si>
    <t>種目９</t>
    <rPh sb="0" eb="2">
      <t>シュモク</t>
    </rPh>
    <phoneticPr fontId="1"/>
  </si>
  <si>
    <t>対抗戦</t>
    <rPh sb="0" eb="2">
      <t>タイコウ</t>
    </rPh>
    <rPh sb="2" eb="3">
      <t>セン</t>
    </rPh>
    <phoneticPr fontId="1"/>
  </si>
  <si>
    <t>リアクション
タイム</t>
    <phoneticPr fontId="1"/>
  </si>
  <si>
    <t>組当たりの
競技時間</t>
    <rPh sb="0" eb="1">
      <t>クミ</t>
    </rPh>
    <rPh sb="1" eb="2">
      <t>ア</t>
    </rPh>
    <rPh sb="6" eb="8">
      <t>キョウギ</t>
    </rPh>
    <rPh sb="8" eb="10">
      <t>ジカン</t>
    </rPh>
    <phoneticPr fontId="1"/>
  </si>
  <si>
    <t>対抗戦
有無</t>
    <rPh sb="0" eb="2">
      <t>タイコウ</t>
    </rPh>
    <rPh sb="2" eb="3">
      <t>セン</t>
    </rPh>
    <rPh sb="4" eb="6">
      <t>ウム</t>
    </rPh>
    <phoneticPr fontId="1"/>
  </si>
  <si>
    <t>出場種目2</t>
    <rPh sb="0" eb="2">
      <t>シュツジョウシュモク2</t>
    </rPh>
    <phoneticPr fontId="1"/>
  </si>
  <si>
    <t>出場種目1</t>
    <rPh sb="0" eb="2">
      <t>シュツジョウ</t>
    </rPh>
    <rPh sb="2" eb="4">
      <t>シュモク</t>
    </rPh>
    <phoneticPr fontId="1"/>
  </si>
  <si>
    <t>資格記録１
(種目1)</t>
    <rPh sb="0" eb="2">
      <t>シカク</t>
    </rPh>
    <rPh sb="2" eb="4">
      <t>キロク</t>
    </rPh>
    <rPh sb="7" eb="9">
      <t>シュモク</t>
    </rPh>
    <phoneticPr fontId="1"/>
  </si>
  <si>
    <t>資格記録２
(種目1)</t>
    <rPh sb="0" eb="2">
      <t>シカク</t>
    </rPh>
    <rPh sb="2" eb="4">
      <t>キロク</t>
    </rPh>
    <rPh sb="7" eb="9">
      <t>シュモク</t>
    </rPh>
    <phoneticPr fontId="1"/>
  </si>
  <si>
    <t>資格記録３
(種目1)</t>
    <rPh sb="0" eb="2">
      <t>シカク</t>
    </rPh>
    <rPh sb="2" eb="4">
      <t>キロク</t>
    </rPh>
    <rPh sb="7" eb="9">
      <t>シュモク</t>
    </rPh>
    <phoneticPr fontId="1"/>
  </si>
  <si>
    <t>OPN2</t>
    <phoneticPr fontId="1"/>
  </si>
  <si>
    <t>資格記録１
(種目2)</t>
    <rPh sb="0" eb="2">
      <t>シカクキロク4</t>
    </rPh>
    <phoneticPr fontId="1"/>
  </si>
  <si>
    <t>資格記録２
(種目2)</t>
    <rPh sb="0" eb="2">
      <t>シカクキロク5</t>
    </rPh>
    <phoneticPr fontId="1"/>
  </si>
  <si>
    <t>資格記録３
(種目2)</t>
    <rPh sb="0" eb="2">
      <t>シカクキロク6</t>
    </rPh>
    <phoneticPr fontId="1"/>
  </si>
  <si>
    <t>出場種目3</t>
    <rPh sb="0" eb="2">
      <t>シュツジョウシュモク7</t>
    </rPh>
    <phoneticPr fontId="1"/>
  </si>
  <si>
    <t>OPN3</t>
    <phoneticPr fontId="1"/>
  </si>
  <si>
    <t>資格記録１
(種目3)</t>
    <rPh sb="0" eb="2">
      <t>シカクキロク9</t>
    </rPh>
    <phoneticPr fontId="1"/>
  </si>
  <si>
    <t>資格記録２
(種目3)</t>
    <rPh sb="0" eb="2">
      <t>シカクキロク10</t>
    </rPh>
    <phoneticPr fontId="1"/>
  </si>
  <si>
    <t>資格記録３
(種目3)</t>
    <rPh sb="0" eb="2">
      <t>シカクキロク11</t>
    </rPh>
    <phoneticPr fontId="1"/>
  </si>
  <si>
    <t>出場種目4</t>
    <rPh sb="0" eb="2">
      <t>シュツジョウシュモク12</t>
    </rPh>
    <phoneticPr fontId="1"/>
  </si>
  <si>
    <t>OPN4</t>
    <phoneticPr fontId="1"/>
  </si>
  <si>
    <t>資格記録１
(種目4)</t>
    <rPh sb="0" eb="2">
      <t>シカクキロク14</t>
    </rPh>
    <phoneticPr fontId="1"/>
  </si>
  <si>
    <t>資格記録２
(種目4)</t>
    <rPh sb="0" eb="2">
      <t>シカクキロク15</t>
    </rPh>
    <phoneticPr fontId="1"/>
  </si>
  <si>
    <t>資格記録３
(種目4)</t>
    <rPh sb="0" eb="2">
      <t>シカクキロク16</t>
    </rPh>
    <phoneticPr fontId="1"/>
  </si>
  <si>
    <t>出場種目5</t>
    <rPh sb="0" eb="2">
      <t>シュツジョウシュモク17</t>
    </rPh>
    <phoneticPr fontId="1"/>
  </si>
  <si>
    <t>OPN5</t>
    <phoneticPr fontId="1"/>
  </si>
  <si>
    <t>資格記録１
(種目5)</t>
    <rPh sb="0" eb="2">
      <t>シカクキロク19</t>
    </rPh>
    <phoneticPr fontId="1"/>
  </si>
  <si>
    <t>資格記録２
(種目5)</t>
    <rPh sb="0" eb="2">
      <t>シカクキロク20</t>
    </rPh>
    <phoneticPr fontId="1"/>
  </si>
  <si>
    <t>資格記録３
(種目5)</t>
    <rPh sb="0" eb="2">
      <t>シカクキロク21</t>
    </rPh>
    <phoneticPr fontId="1"/>
  </si>
  <si>
    <t>出場種目6</t>
    <rPh sb="0" eb="2">
      <t>シュツジョウシュモク22</t>
    </rPh>
    <phoneticPr fontId="1"/>
  </si>
  <si>
    <t>OPN6</t>
    <phoneticPr fontId="1"/>
  </si>
  <si>
    <t>資格記録１
(種目6)</t>
    <rPh sb="0" eb="2">
      <t>シカクキロク24</t>
    </rPh>
    <phoneticPr fontId="1"/>
  </si>
  <si>
    <t>資格記録２
(種目6)</t>
    <rPh sb="0" eb="2">
      <t>シカクキロク25</t>
    </rPh>
    <phoneticPr fontId="1"/>
  </si>
  <si>
    <t>資格記録３
(種目6)</t>
    <rPh sb="0" eb="2">
      <t>シカクキロク26</t>
    </rPh>
    <phoneticPr fontId="1"/>
  </si>
  <si>
    <t>出場種目7</t>
    <rPh sb="0" eb="2">
      <t>シュツジョウシュモク27</t>
    </rPh>
    <phoneticPr fontId="1"/>
  </si>
  <si>
    <t>OPN8</t>
    <phoneticPr fontId="1"/>
  </si>
  <si>
    <t>OPN7</t>
    <phoneticPr fontId="1"/>
  </si>
  <si>
    <t>資格記録１
(種目7)</t>
    <rPh sb="0" eb="2">
      <t>シカクキロク29</t>
    </rPh>
    <phoneticPr fontId="1"/>
  </si>
  <si>
    <t>資格記録２
(種目7)</t>
    <rPh sb="0" eb="2">
      <t>シカクキロク30</t>
    </rPh>
    <phoneticPr fontId="1"/>
  </si>
  <si>
    <t>資格記録３
(種目7)</t>
    <rPh sb="0" eb="2">
      <t>シカクキロク31</t>
    </rPh>
    <phoneticPr fontId="1"/>
  </si>
  <si>
    <t>出場種目8</t>
    <rPh sb="0" eb="2">
      <t>シュツジョウシュモク32</t>
    </rPh>
    <phoneticPr fontId="1"/>
  </si>
  <si>
    <t>資格記録１
(種目8)</t>
    <rPh sb="0" eb="2">
      <t>シカクキロク34</t>
    </rPh>
    <phoneticPr fontId="1"/>
  </si>
  <si>
    <t>資格記録２
(種目8)</t>
    <rPh sb="0" eb="2">
      <t>シカクキロク35</t>
    </rPh>
    <phoneticPr fontId="1"/>
  </si>
  <si>
    <t>資格記録３
(種目6)2</t>
    <rPh sb="0" eb="2">
      <t>シカクキロク362</t>
    </rPh>
    <phoneticPr fontId="1"/>
  </si>
  <si>
    <t>出場種目9</t>
    <rPh sb="0" eb="2">
      <t>シュツジョウシュモク37</t>
    </rPh>
    <phoneticPr fontId="1"/>
  </si>
  <si>
    <t>OPN9</t>
    <phoneticPr fontId="1"/>
  </si>
  <si>
    <t>資格記録１
(種目9)</t>
    <rPh sb="0" eb="2">
      <t>シカクキロク39</t>
    </rPh>
    <phoneticPr fontId="1"/>
  </si>
  <si>
    <t>資格記録２
(種目9)</t>
    <rPh sb="0" eb="2">
      <t>シカクキロク40</t>
    </rPh>
    <phoneticPr fontId="1"/>
  </si>
  <si>
    <t>資格記録３
(種目9)</t>
    <rPh sb="0" eb="2">
      <t>シカクキロク41</t>
    </rPh>
    <phoneticPr fontId="1"/>
  </si>
  <si>
    <t>出場種目10</t>
    <rPh sb="0" eb="2">
      <t>シュツジョウシュモク42</t>
    </rPh>
    <phoneticPr fontId="1"/>
  </si>
  <si>
    <t>OPN10</t>
    <phoneticPr fontId="1"/>
  </si>
  <si>
    <t>種目10</t>
    <rPh sb="0" eb="2">
      <t>シュモク</t>
    </rPh>
    <phoneticPr fontId="1"/>
  </si>
  <si>
    <t>資格記録１
(種目10)</t>
    <rPh sb="0" eb="2">
      <t>シカクキロク44</t>
    </rPh>
    <phoneticPr fontId="1"/>
  </si>
  <si>
    <t>資格記録２
(種目10)</t>
    <rPh sb="0" eb="2">
      <t>シカクキロク45</t>
    </rPh>
    <phoneticPr fontId="1"/>
  </si>
  <si>
    <t>資格記録３
(種目10)</t>
    <rPh sb="0" eb="2">
      <t>シカクキロク46</t>
    </rPh>
    <phoneticPr fontId="1"/>
  </si>
  <si>
    <t>気象状況</t>
    <rPh sb="0" eb="2">
      <t>キショウ</t>
    </rPh>
    <rPh sb="2" eb="4">
      <t>ジョウキョウ</t>
    </rPh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</si>
  <si>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</si>
  <si>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</si>
  <si>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天候</t>
    <rPh sb="0" eb="2">
      <t>テンコウ</t>
    </rPh>
    <phoneticPr fontId="1"/>
  </si>
  <si>
    <t>気温
(℃)</t>
    <rPh sb="0" eb="2">
      <t>キオン</t>
    </rPh>
    <phoneticPr fontId="1"/>
  </si>
  <si>
    <t>湿度
(%)</t>
    <rPh sb="0" eb="2">
      <t>シツド</t>
    </rPh>
    <phoneticPr fontId="1"/>
  </si>
  <si>
    <t>風向</t>
    <rPh sb="0" eb="2">
      <t>フウコウ</t>
    </rPh>
    <phoneticPr fontId="1"/>
  </si>
  <si>
    <t>風速</t>
    <rPh sb="0" eb="2">
      <t>フウソク</t>
    </rPh>
    <phoneticPr fontId="1"/>
  </si>
  <si>
    <t>備考</t>
    <rPh sb="0" eb="2">
      <t>ビコウ</t>
    </rPh>
    <phoneticPr fontId="1"/>
  </si>
  <si>
    <t>上位入賞者</t>
    <rPh sb="0" eb="2">
      <t>ジョウイ</t>
    </rPh>
    <rPh sb="2" eb="5">
      <t>ニュウショウシャ</t>
    </rPh>
    <phoneticPr fontId="1"/>
  </si>
  <si>
    <t>種目ID
(種目1)</t>
    <rPh sb="0" eb="2">
      <t>シュモク</t>
    </rPh>
    <rPh sb="6" eb="8">
      <t>シュモク</t>
    </rPh>
    <phoneticPr fontId="1"/>
  </si>
  <si>
    <t>種目ID
(種目2)</t>
    <rPh sb="0" eb="2">
      <t>シュモクシュモク2</t>
    </rPh>
    <phoneticPr fontId="1"/>
  </si>
  <si>
    <t>種目ID
(種目3)</t>
    <rPh sb="0" eb="2">
      <t>シュモクシュモク32</t>
    </rPh>
    <phoneticPr fontId="1"/>
  </si>
  <si>
    <t>種目ID
(種目4)</t>
    <rPh sb="0" eb="2">
      <t>シュモクシュモク4</t>
    </rPh>
    <phoneticPr fontId="1"/>
  </si>
  <si>
    <t>種目ID
(種目5)</t>
    <rPh sb="0" eb="2">
      <t>シュモクシュモク5</t>
    </rPh>
    <phoneticPr fontId="1"/>
  </si>
  <si>
    <t>種目ID
(種目6)</t>
    <rPh sb="0" eb="2">
      <t>シュモクシュモク6</t>
    </rPh>
    <phoneticPr fontId="1"/>
  </si>
  <si>
    <t>種目ID
(種目7)</t>
    <rPh sb="0" eb="2">
      <t>シュモクシュモク7</t>
    </rPh>
    <phoneticPr fontId="1"/>
  </si>
  <si>
    <t>種目ID
(種目8)</t>
    <rPh sb="0" eb="2">
      <t>シュモクシュモク8</t>
    </rPh>
    <phoneticPr fontId="1"/>
  </si>
  <si>
    <t>種目ID
(種目9)</t>
    <rPh sb="0" eb="2">
      <t>シュモクシュモク9</t>
    </rPh>
    <phoneticPr fontId="1"/>
  </si>
  <si>
    <t>種目ID
(種目10)</t>
    <rPh sb="0" eb="2">
      <t>シュモクシュモク10</t>
    </rPh>
    <phoneticPr fontId="1"/>
  </si>
  <si>
    <t>登録
選手数</t>
    <rPh sb="0" eb="2">
      <t>トウロク</t>
    </rPh>
    <rPh sb="3" eb="5">
      <t>センシュ</t>
    </rPh>
    <rPh sb="5" eb="6">
      <t>スウ</t>
    </rPh>
    <phoneticPr fontId="1"/>
  </si>
  <si>
    <t>QUESTION</t>
  </si>
  <si>
    <t>種目: {0} はすでに入力票が作成されています。
入力票ファイルを削除し、新たに作成しなおしますか？</t>
    <rPh sb="0" eb="2">
      <t>シュモク</t>
    </rPh>
    <rPh sb="12" eb="14">
      <t>ニュウリョク</t>
    </rPh>
    <rPh sb="14" eb="15">
      <t>ヒョウ</t>
    </rPh>
    <rPh sb="16" eb="18">
      <t>サクセイ</t>
    </rPh>
    <rPh sb="26" eb="28">
      <t>ニュウリョク</t>
    </rPh>
    <rPh sb="28" eb="29">
      <t>ヒョウ</t>
    </rPh>
    <rPh sb="34" eb="36">
      <t>サクジョ</t>
    </rPh>
    <rPh sb="38" eb="39">
      <t>アラ</t>
    </rPh>
    <rPh sb="41" eb="43">
      <t>サクセイ</t>
    </rPh>
    <phoneticPr fontId="1"/>
  </si>
  <si>
    <t>INFO</t>
  </si>
  <si>
    <t>イベント入力票作成終了</t>
    <rPh sb="4" eb="6">
      <t>ニュウリョク</t>
    </rPh>
    <rPh sb="6" eb="7">
      <t>ヒョウ</t>
    </rPh>
    <rPh sb="7" eb="9">
      <t>サクセイ</t>
    </rPh>
    <rPh sb="9" eb="11">
      <t>シュウリョウ</t>
    </rPh>
    <phoneticPr fontId="1"/>
  </si>
  <si>
    <t>イベント入力票作成済</t>
    <rPh sb="4" eb="6">
      <t>ニュウリョク</t>
    </rPh>
    <rPh sb="6" eb="7">
      <t>ヒョウ</t>
    </rPh>
    <rPh sb="7" eb="9">
      <t>サクセイ</t>
    </rPh>
    <rPh sb="9" eb="10">
      <t>ズ</t>
    </rPh>
    <phoneticPr fontId="1"/>
  </si>
  <si>
    <t>すべての種目について入力票を作成しました。</t>
    <rPh sb="4" eb="6">
      <t>シュモク</t>
    </rPh>
    <rPh sb="10" eb="12">
      <t>ニュウリョク</t>
    </rPh>
    <rPh sb="12" eb="13">
      <t>ヒョウ</t>
    </rPh>
    <rPh sb="14" eb="16">
      <t>サクセイ</t>
    </rPh>
    <phoneticPr fontId="1"/>
  </si>
  <si>
    <t>イベント入力票未対応</t>
    <rPh sb="4" eb="6">
      <t>ニュウリョク</t>
    </rPh>
    <rPh sb="6" eb="7">
      <t>ヒョウ</t>
    </rPh>
    <rPh sb="7" eb="10">
      <t>ミタイオウ</t>
    </rPh>
    <phoneticPr fontId="1"/>
  </si>
  <si>
    <t>入力票テンプレートなし</t>
    <rPh sb="0" eb="2">
      <t>ニュウリョク</t>
    </rPh>
    <rPh sb="2" eb="3">
      <t>ヒョウ</t>
    </rPh>
    <phoneticPr fontId="1"/>
  </si>
  <si>
    <t>種目: {0} は入力票作成に対応していません。</t>
    <rPh sb="0" eb="2">
      <t>シュモク</t>
    </rPh>
    <rPh sb="9" eb="11">
      <t>ニュウリョク</t>
    </rPh>
    <rPh sb="11" eb="12">
      <t>ヒョウ</t>
    </rPh>
    <rPh sb="12" eb="14">
      <t>サクセイ</t>
    </rPh>
    <rPh sb="15" eb="17">
      <t>タイオウ</t>
    </rPh>
    <phoneticPr fontId="1"/>
  </si>
  <si>
    <t>入力票テンプレート: {0} がありません。
所定の場所にテンプレートファイルを配置してください。</t>
    <rPh sb="0" eb="2">
      <t>ニュウリョク</t>
    </rPh>
    <rPh sb="2" eb="3">
      <t>ヒョウ</t>
    </rPh>
    <rPh sb="23" eb="25">
      <t>ショテイ</t>
    </rPh>
    <rPh sb="26" eb="28">
      <t>バショ</t>
    </rPh>
    <rPh sb="40" eb="42">
      <t>ハイチ</t>
    </rPh>
    <phoneticPr fontId="1"/>
  </si>
  <si>
    <t>入力票作成中</t>
    <rPh sb="0" eb="2">
      <t>ニュウリョク</t>
    </rPh>
    <rPh sb="2" eb="3">
      <t>ヒョウ</t>
    </rPh>
    <rPh sb="3" eb="6">
      <t>サクセイチュウ</t>
    </rPh>
    <phoneticPr fontId="1"/>
  </si>
  <si>
    <t>種目: {0} の入力票を作成しています。 ({1}%)</t>
    <rPh sb="0" eb="2">
      <t>シュモク</t>
    </rPh>
    <rPh sb="9" eb="11">
      <t>ニュウリョク</t>
    </rPh>
    <rPh sb="11" eb="12">
      <t>ヒョウ</t>
    </rPh>
    <rPh sb="13" eb="15">
      <t>サクセイ</t>
    </rPh>
    <phoneticPr fontId="1"/>
  </si>
  <si>
    <t>みよし運動公園陸上競技場</t>
    <rPh sb="3" eb="7">
      <t>ウンドウコウエン</t>
    </rPh>
    <rPh sb="7" eb="9">
      <t>リクジョウ</t>
    </rPh>
    <rPh sb="9" eb="12">
      <t>キョウギジョウ</t>
    </rPh>
    <phoneticPr fontId="1"/>
  </si>
  <si>
    <t>343120</t>
    <phoneticPr fontId="1"/>
  </si>
  <si>
    <t>広島</t>
    <rPh sb="0" eb="2">
      <t>ヒロシマ</t>
    </rPh>
    <phoneticPr fontId="1"/>
  </si>
  <si>
    <t>三次市陸上競技協会, 株式会社セイカスポーツセンター</t>
    <rPh sb="0" eb="3">
      <t>ミヨシシ</t>
    </rPh>
    <rPh sb="3" eb="5">
      <t>リクジョウ</t>
    </rPh>
    <rPh sb="5" eb="7">
      <t>キョウギ</t>
    </rPh>
    <rPh sb="7" eb="9">
      <t>キョウカイ</t>
    </rPh>
    <rPh sb="11" eb="13">
      <t>カブシキ</t>
    </rPh>
    <rPh sb="13" eb="15">
      <t>カイシャ</t>
    </rPh>
    <phoneticPr fontId="1"/>
  </si>
  <si>
    <t>入力票なし</t>
    <rPh sb="0" eb="2">
      <t>ニュウリョク</t>
    </rPh>
    <rPh sb="2" eb="3">
      <t>ヒョウ</t>
    </rPh>
    <phoneticPr fontId="1"/>
  </si>
  <si>
    <t>種目: {0} の入力票が未作成です。
種目シートから「入力票作成」ボタンをクリックして入力票を作成してください。</t>
    <rPh sb="0" eb="2">
      <t>シュモク</t>
    </rPh>
    <rPh sb="9" eb="11">
      <t>ニュウリョク</t>
    </rPh>
    <rPh sb="11" eb="12">
      <t>ヒョウ</t>
    </rPh>
    <rPh sb="13" eb="16">
      <t>ミサクセイ</t>
    </rPh>
    <rPh sb="20" eb="22">
      <t>シュモク</t>
    </rPh>
    <rPh sb="28" eb="30">
      <t>ニュウリョク</t>
    </rPh>
    <rPh sb="30" eb="31">
      <t>ヒョウ</t>
    </rPh>
    <rPh sb="31" eb="33">
      <t>サクセイ</t>
    </rPh>
    <rPh sb="44" eb="46">
      <t>ニュウリョク</t>
    </rPh>
    <rPh sb="46" eb="47">
      <t>ヒョウ</t>
    </rPh>
    <rPh sb="48" eb="50">
      <t>サクセイ</t>
    </rPh>
    <phoneticPr fontId="1"/>
  </si>
  <si>
    <t>ERROR</t>
    <phoneticPr fontId="1"/>
  </si>
  <si>
    <t>ラウンドデータローディング中</t>
    <rPh sb="13" eb="14">
      <t>チュウ</t>
    </rPh>
    <phoneticPr fontId="1"/>
  </si>
  <si>
    <t>種目: {0} の入力表にラウンドデータをロードしています。 ({1}%)</t>
    <rPh sb="9" eb="11">
      <t>ニュウリョク</t>
    </rPh>
    <rPh sb="11" eb="12">
      <t>ヒョウ</t>
    </rPh>
    <phoneticPr fontId="1"/>
  </si>
  <si>
    <t>広　島</t>
    <rPh sb="0" eb="1">
      <t>ヒロ</t>
    </rPh>
    <rPh sb="2" eb="3">
      <t>シマ</t>
    </rPh>
    <phoneticPr fontId="1"/>
  </si>
  <si>
    <t>JPN</t>
    <phoneticPr fontId="1"/>
  </si>
  <si>
    <t>高校</t>
    <rPh sb="0" eb="2">
      <t>コウコウ</t>
    </rPh>
    <phoneticPr fontId="1"/>
  </si>
  <si>
    <t>エントリーデータロード完了</t>
    <rPh sb="11" eb="13">
      <t>カンリョウ</t>
    </rPh>
    <phoneticPr fontId="1"/>
  </si>
  <si>
    <t>エントリーデータのロードが完了しました。</t>
    <rPh sb="13" eb="15">
      <t>カンリョウ</t>
    </rPh>
    <phoneticPr fontId="1"/>
  </si>
  <si>
    <t>エントリーデータローディング中</t>
    <rPh sb="14" eb="15">
      <t>チュウ</t>
    </rPh>
    <phoneticPr fontId="1"/>
  </si>
  <si>
    <t>種目: {0} の入力表にエントリーデータをロードしています。 ({1}%)</t>
    <rPh sb="9" eb="11">
      <t>ニュウリョク</t>
    </rPh>
    <rPh sb="11" eb="12">
      <t>ヒョウ</t>
    </rPh>
    <phoneticPr fontId="1"/>
  </si>
  <si>
    <t>歴代記録</t>
    <rPh sb="0" eb="2">
      <t>レキダイ</t>
    </rPh>
    <rPh sb="2" eb="4">
      <t>キロク</t>
    </rPh>
    <phoneticPr fontId="1"/>
  </si>
  <si>
    <t>歴代記録名</t>
    <rPh sb="0" eb="2">
      <t>レキダイ</t>
    </rPh>
    <rPh sb="2" eb="4">
      <t>キロク</t>
    </rPh>
    <rPh sb="4" eb="5">
      <t>メイ</t>
    </rPh>
    <phoneticPr fontId="1"/>
  </si>
  <si>
    <t>記録</t>
    <rPh sb="0" eb="2">
      <t>キロク</t>
    </rPh>
    <phoneticPr fontId="1"/>
  </si>
  <si>
    <t>精度</t>
    <rPh sb="0" eb="2">
      <t>セイド</t>
    </rPh>
    <phoneticPr fontId="1"/>
  </si>
  <si>
    <t>選手名/リレーオーダー</t>
    <rPh sb="0" eb="2">
      <t>センシュ</t>
    </rPh>
    <rPh sb="2" eb="3">
      <t>メイ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</si>
  <si>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</si>
  <si>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</si>
  <si>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表示順</t>
    <rPh sb="0" eb="2">
      <t>ヒョウジ</t>
    </rPh>
    <rPh sb="2" eb="3">
      <t>ジュン</t>
    </rPh>
    <phoneticPr fontId="1"/>
  </si>
  <si>
    <t>桁精度</t>
    <rPh sb="0" eb="1">
      <t>ケタ</t>
    </rPh>
    <rPh sb="1" eb="3">
      <t>セイド</t>
    </rPh>
    <phoneticPr fontId="1"/>
  </si>
  <si>
    <t>対象区分</t>
    <rPh sb="0" eb="2">
      <t>タイショウ</t>
    </rPh>
    <rPh sb="2" eb="4">
      <t>クブン</t>
    </rPh>
    <phoneticPr fontId="1"/>
  </si>
  <si>
    <t>略号</t>
    <rPh sb="0" eb="2">
      <t>リャクゴウ</t>
    </rPh>
    <phoneticPr fontId="1"/>
  </si>
  <si>
    <t>1/100 m</t>
    <phoneticPr fontId="1"/>
  </si>
  <si>
    <t>1 点</t>
    <rPh sb="2" eb="3">
      <t>テン</t>
    </rPh>
    <phoneticPr fontId="1"/>
  </si>
  <si>
    <t>所属チーム名</t>
    <rPh sb="0" eb="2">
      <t>ショゾク</t>
    </rPh>
    <rPh sb="5" eb="6">
      <t>メイ</t>
    </rPh>
    <phoneticPr fontId="1"/>
  </si>
  <si>
    <t>623F50AB-CCCC-4947-A43F76AA624A44F5</t>
    <phoneticPr fontId="1"/>
  </si>
  <si>
    <t>大会記録ロード中</t>
    <rPh sb="0" eb="2">
      <t>タイカイ</t>
    </rPh>
    <rPh sb="2" eb="4">
      <t>キロク</t>
    </rPh>
    <rPh sb="7" eb="8">
      <t>チュウ</t>
    </rPh>
    <phoneticPr fontId="1"/>
  </si>
  <si>
    <t>種目: {0} の入力表に歴代記録をロードしています。 ({1}%)</t>
    <rPh sb="9" eb="11">
      <t>ニュウリョク</t>
    </rPh>
    <rPh sb="11" eb="12">
      <t>ヒョウ</t>
    </rPh>
    <rPh sb="13" eb="15">
      <t>レキダイ</t>
    </rPh>
    <rPh sb="15" eb="17">
      <t>キロク</t>
    </rPh>
    <phoneticPr fontId="1"/>
  </si>
  <si>
    <t>歴代記録のロードが完了しました。</t>
    <rPh sb="0" eb="2">
      <t>レキダイ</t>
    </rPh>
    <rPh sb="2" eb="4">
      <t>キロク</t>
    </rPh>
    <rPh sb="9" eb="11">
      <t>カンリョウ</t>
    </rPh>
    <phoneticPr fontId="1"/>
  </si>
  <si>
    <t>ラウンドデータロード完了</t>
    <rPh sb="10" eb="12">
      <t>カンリョウ</t>
    </rPh>
    <phoneticPr fontId="1"/>
  </si>
  <si>
    <t>ラウンドデータのロードが完了しました。</t>
    <rPh sb="12" eb="14">
      <t>カンリョウ</t>
    </rPh>
    <phoneticPr fontId="1"/>
  </si>
  <si>
    <t>大会記録ロード完了</t>
    <rPh sb="0" eb="2">
      <t>タイカイ</t>
    </rPh>
    <rPh sb="2" eb="4">
      <t>キロク</t>
    </rPh>
    <rPh sb="7" eb="9">
      <t>カンリョウ</t>
    </rPh>
    <phoneticPr fontId="1"/>
  </si>
  <si>
    <t>広島県記録</t>
    <rPh sb="0" eb="3">
      <t>ヒロシマケン</t>
    </rPh>
    <rPh sb="3" eb="5">
      <t>キロク</t>
    </rPh>
    <phoneticPr fontId="1"/>
  </si>
  <si>
    <t>新宅　雅也</t>
    <rPh sb="0" eb="2">
      <t>シンタク</t>
    </rPh>
    <rPh sb="3" eb="5">
      <t>マサナリ</t>
    </rPh>
    <phoneticPr fontId="1"/>
  </si>
  <si>
    <t>DEFCD9A2-7E93-4EFD-BCC5E76E7D0CEC75</t>
    <phoneticPr fontId="1"/>
  </si>
  <si>
    <t>A153C457-22C5-4432-800D630A2905CA6E</t>
    <phoneticPr fontId="1"/>
  </si>
  <si>
    <t>3F6070DA-799D-43D7-82FD1952568FCB41</t>
    <phoneticPr fontId="1"/>
  </si>
  <si>
    <t>列2</t>
  </si>
  <si>
    <t>2023年度第3回　みよし長距離ナイター記録会</t>
    <rPh sb="4" eb="6">
      <t>ネンド</t>
    </rPh>
    <rPh sb="6" eb="7">
      <t>ダイ</t>
    </rPh>
    <rPh sb="8" eb="9">
      <t>カイ</t>
    </rPh>
    <rPh sb="13" eb="16">
      <t>チョウキョリ</t>
    </rPh>
    <rPh sb="20" eb="22">
      <t>キロク</t>
    </rPh>
    <rPh sb="22" eb="23">
      <t>カイ</t>
    </rPh>
    <phoneticPr fontId="1"/>
  </si>
  <si>
    <t>23340565</t>
    <phoneticPr fontId="1"/>
  </si>
  <si>
    <t>広島陸上競技協会</t>
    <rPh sb="0" eb="2">
      <t>ヒロシマ</t>
    </rPh>
    <rPh sb="2" eb="4">
      <t>リクジョウ</t>
    </rPh>
    <rPh sb="4" eb="6">
      <t>キョウギ</t>
    </rPh>
    <rPh sb="6" eb="8">
      <t>キョウカイ</t>
    </rPh>
    <phoneticPr fontId="1"/>
  </si>
  <si>
    <t>世羅高</t>
    <rPh sb="0" eb="2">
      <t>セラ</t>
    </rPh>
    <rPh sb="2" eb="3">
      <t>コウ</t>
    </rPh>
    <phoneticPr fontId="1"/>
  </si>
  <si>
    <t>ｾﾗｺｳ</t>
    <phoneticPr fontId="1"/>
  </si>
  <si>
    <t>古原　拓弥</t>
    <rPh sb="0" eb="2">
      <t>コハラ</t>
    </rPh>
    <rPh sb="3" eb="5">
      <t>タクヤ</t>
    </rPh>
    <phoneticPr fontId="1"/>
  </si>
  <si>
    <t>0847-22-1118</t>
    <phoneticPr fontId="1"/>
  </si>
  <si>
    <t>020-2938-8569</t>
    <phoneticPr fontId="1"/>
  </si>
  <si>
    <t>:</t>
    <phoneticPr fontId="1"/>
  </si>
  <si>
    <t>.</t>
    <phoneticPr fontId="1"/>
  </si>
  <si>
    <t>ローズ　ワングイ</t>
    <rPh sb="0" eb="8">
      <t>　　　ローズ　　　　　　　　ワングイ</t>
    </rPh>
    <phoneticPr fontId="1"/>
  </si>
  <si>
    <t>2</t>
  </si>
  <si>
    <t>ﾛｰｽﾞ ﾜﾝｸﾞｲ</t>
  </si>
  <si>
    <t>Rose WANGUI</t>
  </si>
  <si>
    <t>KEN</t>
  </si>
  <si>
    <t>高校,国外</t>
    <rPh sb="0" eb="2">
      <t>コウコウ</t>
    </rPh>
    <rPh sb="3" eb="5">
      <t>コクガイ</t>
    </rPh>
    <phoneticPr fontId="1"/>
  </si>
  <si>
    <t>山田　依茉</t>
    <rPh sb="0" eb="5">
      <t>ヤマダ　　エマ</t>
    </rPh>
    <phoneticPr fontId="1"/>
  </si>
  <si>
    <t>3</t>
  </si>
  <si>
    <t>ﾔﾏﾀﾞ ｴﾏ</t>
  </si>
  <si>
    <t>YAMADA Ema</t>
  </si>
  <si>
    <t>JPN</t>
  </si>
  <si>
    <t>後藤　彩香</t>
    <rPh sb="0" eb="5">
      <t>ゴトウ　アヤカ</t>
    </rPh>
    <phoneticPr fontId="1"/>
  </si>
  <si>
    <t>ｺﾞﾄｳ ｱﾔｶ</t>
  </si>
  <si>
    <t>GOTO Ayaka</t>
  </si>
  <si>
    <t>井上　菜名</t>
    <rPh sb="0" eb="2">
      <t>イノウエ</t>
    </rPh>
    <rPh sb="3" eb="5">
      <t>ナナ</t>
    </rPh>
    <phoneticPr fontId="1"/>
  </si>
  <si>
    <t>ｲﾉｳｴ ﾅﾅ</t>
  </si>
  <si>
    <t>INOUE Nana</t>
  </si>
  <si>
    <t>森本　亜都</t>
    <rPh sb="0" eb="2">
      <t>モリモト</t>
    </rPh>
    <rPh sb="3" eb="5">
      <t>アヅ</t>
    </rPh>
    <phoneticPr fontId="1"/>
  </si>
  <si>
    <t>ﾓﾘﾓﾄ ｱﾂﾞ</t>
  </si>
  <si>
    <t>MORIMOTO Azu</t>
  </si>
  <si>
    <t>廣崎　夢音</t>
    <rPh sb="0" eb="2">
      <t>ヒロサキ</t>
    </rPh>
    <rPh sb="3" eb="5">
      <t>ユア</t>
    </rPh>
    <phoneticPr fontId="1"/>
  </si>
  <si>
    <t>1</t>
  </si>
  <si>
    <t>ﾋﾛｻｷ ﾕｱ</t>
  </si>
  <si>
    <t>HIROSAKI Yua</t>
  </si>
  <si>
    <t>髙本　依真</t>
    <rPh sb="0" eb="2">
      <t>タカモト</t>
    </rPh>
    <rPh sb="3" eb="5">
      <t>エマ</t>
    </rPh>
    <phoneticPr fontId="1"/>
  </si>
  <si>
    <t>ﾀｶﾓﾄ ｴﾏ</t>
  </si>
  <si>
    <t>TAKAMOTO Ema</t>
  </si>
  <si>
    <t>續子　由依</t>
    <rPh sb="0" eb="1">
      <t>ツヅク　</t>
    </rPh>
    <rPh sb="1" eb="2">
      <t>　シ</t>
    </rPh>
    <rPh sb="3" eb="5">
      <t>ユイ</t>
    </rPh>
    <phoneticPr fontId="1"/>
  </si>
  <si>
    <t>ﾂﾂﾞｸｼ ﾕｲ</t>
  </si>
  <si>
    <t>TSUZUKUSHI Yui</t>
  </si>
  <si>
    <t>寺田　小桜</t>
    <rPh sb="0" eb="2">
      <t>テラダ</t>
    </rPh>
    <rPh sb="3" eb="5">
      <t>コハル</t>
    </rPh>
    <phoneticPr fontId="1"/>
  </si>
  <si>
    <t>ﾃﾗﾀﾞ ｺﾊﾙ</t>
  </si>
  <si>
    <t>TERADA Koharu</t>
  </si>
  <si>
    <t>ジェレミア　カマウ</t>
    <rPh sb="0" eb="9">
      <t>　　　　　ジェレミア　　　　　　　　　カマウ</t>
    </rPh>
    <phoneticPr fontId="1"/>
  </si>
  <si>
    <t>ｼﾞｪﾚﾐｱ ｶﾏｳ</t>
  </si>
  <si>
    <t>Jeremiah KAMAU</t>
  </si>
  <si>
    <t>坂口　雄哉</t>
    <rPh sb="0" eb="2">
      <t>サカグチ</t>
    </rPh>
    <rPh sb="3" eb="5">
      <t>ユウヤ</t>
    </rPh>
    <phoneticPr fontId="1"/>
  </si>
  <si>
    <t>ｻｶｸﾞﾁ ﾕｳﾔ</t>
  </si>
  <si>
    <t>SAKAGUCHI Yuya</t>
  </si>
  <si>
    <t>井上　史琉</t>
    <rPh sb="0" eb="2">
      <t>イノウエ</t>
    </rPh>
    <rPh sb="3" eb="4">
      <t>シ</t>
    </rPh>
    <rPh sb="4" eb="5">
      <t>リュウ</t>
    </rPh>
    <phoneticPr fontId="1"/>
  </si>
  <si>
    <t>ｲﾉｳｴ ｼﾘｭｳ</t>
  </si>
  <si>
    <t>INOUE Shiryu</t>
  </si>
  <si>
    <t>本宮　優心</t>
    <rPh sb="0" eb="2">
      <t>ホンミヤ</t>
    </rPh>
    <rPh sb="3" eb="4">
      <t>ユウ</t>
    </rPh>
    <rPh sb="4" eb="5">
      <t>シン</t>
    </rPh>
    <phoneticPr fontId="1"/>
  </si>
  <si>
    <t>ﾎﾝﾐﾔ ﾕｳｼﾝ</t>
  </si>
  <si>
    <t>HOMMIYA Yushin</t>
  </si>
  <si>
    <t>向津　翼</t>
    <rPh sb="0" eb="2">
      <t>ムカツ</t>
    </rPh>
    <rPh sb="3" eb="4">
      <t>ツバサ</t>
    </rPh>
    <phoneticPr fontId="1"/>
  </si>
  <si>
    <t>ﾑｶﾂ ﾂﾊﾞｻ</t>
  </si>
  <si>
    <t>MUKATSU Tsubasa</t>
  </si>
  <si>
    <t>新見　春陽</t>
    <rPh sb="0" eb="2">
      <t>ニイミ</t>
    </rPh>
    <rPh sb="3" eb="5">
      <t>ハルヒ</t>
    </rPh>
    <phoneticPr fontId="1"/>
  </si>
  <si>
    <t>ﾆｲﾐ ﾊﾙﾋ</t>
  </si>
  <si>
    <t>NIIMI Haruhi</t>
  </si>
  <si>
    <t>三谷　虎太郎</t>
    <rPh sb="0" eb="2">
      <t>ミタニ</t>
    </rPh>
    <rPh sb="3" eb="6">
      <t>コタロウ</t>
    </rPh>
    <phoneticPr fontId="1"/>
  </si>
  <si>
    <t>ﾐﾀﾆ ｺﾀﾛｳ</t>
  </si>
  <si>
    <t>MITANI Kotaro</t>
  </si>
  <si>
    <t>枡田　健伸</t>
    <rPh sb="0" eb="2">
      <t>マスダ</t>
    </rPh>
    <rPh sb="3" eb="4">
      <t>ケン</t>
    </rPh>
    <rPh sb="4" eb="5">
      <t>シン</t>
    </rPh>
    <phoneticPr fontId="1"/>
  </si>
  <si>
    <t>ﾏｽﾀﾞ ｹﾝｼﾝ</t>
  </si>
  <si>
    <t>MASUDA Kenshin</t>
  </si>
  <si>
    <t>土間　董哉</t>
    <rPh sb="0" eb="2">
      <t>ドマ</t>
    </rPh>
    <rPh sb="3" eb="4">
      <t>ナオ</t>
    </rPh>
    <rPh sb="4" eb="5">
      <t>ヤ</t>
    </rPh>
    <phoneticPr fontId="1"/>
  </si>
  <si>
    <t>ﾄﾞﾏ ﾅｵﾔ</t>
  </si>
  <si>
    <t>DOMA Naoya</t>
  </si>
  <si>
    <t>檀上　翔</t>
    <rPh sb="0" eb="2">
      <t>ダンジョウ</t>
    </rPh>
    <rPh sb="3" eb="4">
      <t>カケル</t>
    </rPh>
    <phoneticPr fontId="1"/>
  </si>
  <si>
    <t>ﾀﾞﾝｼﾞｮｳ ｶｹﾙ</t>
  </si>
  <si>
    <t>DANJO Kakeru</t>
  </si>
  <si>
    <t>信田　悠已</t>
    <rPh sb="0" eb="2">
      <t>ノブタ</t>
    </rPh>
    <rPh sb="3" eb="5">
      <t>ユ　イ</t>
    </rPh>
    <phoneticPr fontId="1"/>
  </si>
  <si>
    <t>ﾉﾌﾞﾀ ﾕｲ</t>
  </si>
  <si>
    <t>NOBUTA Yui</t>
  </si>
  <si>
    <t>鈴木　雄貴</t>
    <rPh sb="0" eb="2">
      <t>スズキ</t>
    </rPh>
    <rPh sb="3" eb="4">
      <t>ユウ</t>
    </rPh>
    <rPh sb="4" eb="5">
      <t>キ</t>
    </rPh>
    <phoneticPr fontId="1"/>
  </si>
  <si>
    <t>ｽｽﾞｷ ﾕｳｷ</t>
  </si>
  <si>
    <t>SUZUKI Yuki</t>
  </si>
  <si>
    <t>小丸　統玄</t>
    <rPh sb="0" eb="2">
      <t>コマル</t>
    </rPh>
    <rPh sb="3" eb="4">
      <t>トウ</t>
    </rPh>
    <rPh sb="4" eb="5">
      <t>ゲン</t>
    </rPh>
    <phoneticPr fontId="1"/>
  </si>
  <si>
    <t>ｺﾏﾙ ﾄｳｹﾞﾝ</t>
  </si>
  <si>
    <t>KOMARU Togen</t>
  </si>
  <si>
    <t>古満　櫂晴</t>
    <rPh sb="0" eb="2">
      <t>フルミツ</t>
    </rPh>
    <rPh sb="3" eb="4">
      <t>カイ</t>
    </rPh>
    <rPh sb="4" eb="5">
      <t>セイ</t>
    </rPh>
    <phoneticPr fontId="1"/>
  </si>
  <si>
    <t>ﾌﾙﾐﾂ ｶｲｾｲ</t>
  </si>
  <si>
    <t>FURUMITSU Kaisei</t>
  </si>
  <si>
    <t>山本　智礼</t>
    <rPh sb="0" eb="2">
      <t>ヤマモト</t>
    </rPh>
    <rPh sb="3" eb="4">
      <t>トモ</t>
    </rPh>
    <rPh sb="4" eb="5">
      <t>ノリ</t>
    </rPh>
    <phoneticPr fontId="1"/>
  </si>
  <si>
    <t>ﾔﾏﾓﾄ ﾄﾓﾉﾘ</t>
  </si>
  <si>
    <t>YAMAMOTO Tomonori</t>
  </si>
  <si>
    <t>寺田　悠人</t>
    <rPh sb="0" eb="2">
      <t>テラダ</t>
    </rPh>
    <rPh sb="3" eb="5">
      <t>ハルト</t>
    </rPh>
    <phoneticPr fontId="1"/>
  </si>
  <si>
    <t>ﾃﾗﾀﾞ ﾊﾙﾄ</t>
  </si>
  <si>
    <t>TERADA Haruto</t>
  </si>
  <si>
    <t>高橋　希良</t>
    <rPh sb="0" eb="2">
      <t>タカハシ</t>
    </rPh>
    <rPh sb="3" eb="4">
      <t>キ</t>
    </rPh>
    <rPh sb="4" eb="5">
      <t>ラ</t>
    </rPh>
    <phoneticPr fontId="1"/>
  </si>
  <si>
    <t>ﾀｶﾊｼ ｷﾗ</t>
  </si>
  <si>
    <t>TAKAHASHI Kira</t>
  </si>
  <si>
    <t>新木　悠雅</t>
    <rPh sb="0" eb="2">
      <t>シンキ</t>
    </rPh>
    <rPh sb="3" eb="4">
      <t>ユウ</t>
    </rPh>
    <rPh sb="4" eb="5">
      <t>ガ</t>
    </rPh>
    <phoneticPr fontId="1"/>
  </si>
  <si>
    <t>ｼﾝｷ ﾕｳｶﾞ</t>
  </si>
  <si>
    <t>SHINKI Yuga</t>
  </si>
  <si>
    <t>仁川　翔矢</t>
    <rPh sb="0" eb="2">
      <t>ニカワ</t>
    </rPh>
    <rPh sb="3" eb="5">
      <t>ショウヤ</t>
    </rPh>
    <phoneticPr fontId="1"/>
  </si>
  <si>
    <t>ﾆｶﾜ ｼｮｳﾔ</t>
  </si>
  <si>
    <t>NIKAWA Shoya</t>
  </si>
  <si>
    <t>丸茂　圭史</t>
    <rPh sb="0" eb="2">
      <t>マルモ</t>
    </rPh>
    <rPh sb="3" eb="5">
      <t>ケイジ</t>
    </rPh>
    <phoneticPr fontId="1"/>
  </si>
  <si>
    <t>ﾏﾙﾓ ｹｲｼﾞ</t>
  </si>
  <si>
    <t>MARUMO Keiji</t>
  </si>
  <si>
    <t>田村　大</t>
    <rPh sb="0" eb="2">
      <t>タムラ</t>
    </rPh>
    <rPh sb="3" eb="4">
      <t>ダイ</t>
    </rPh>
    <phoneticPr fontId="1"/>
  </si>
  <si>
    <t>ﾀﾑﾗ ﾀﾞｲ</t>
  </si>
  <si>
    <t>TAMURA Dai</t>
  </si>
  <si>
    <t>正畑　竜悟</t>
    <rPh sb="0" eb="2">
      <t>ショウハタ</t>
    </rPh>
    <rPh sb="3" eb="5">
      <t>リュウゴ</t>
    </rPh>
    <phoneticPr fontId="1"/>
  </si>
  <si>
    <t>ｼｮｳﾊﾀ ﾘｭｳｺﾞ</t>
  </si>
  <si>
    <t>SHOHATA Ryugo</t>
  </si>
  <si>
    <t>西本　一誠</t>
    <rPh sb="0" eb="2">
      <t>ニシモト</t>
    </rPh>
    <rPh sb="3" eb="5">
      <t>イッセイ</t>
    </rPh>
    <phoneticPr fontId="1"/>
  </si>
  <si>
    <t>ﾆｼﾓﾄ ｲｯｾｲ</t>
  </si>
  <si>
    <t>NISHIMOTO Issei</t>
  </si>
  <si>
    <t>若林　勇希</t>
    <rPh sb="0" eb="2">
      <t>ワカバヤシ</t>
    </rPh>
    <rPh sb="3" eb="4">
      <t>ユウ</t>
    </rPh>
    <rPh sb="4" eb="5">
      <t>キ</t>
    </rPh>
    <phoneticPr fontId="1"/>
  </si>
  <si>
    <t>ﾜｶﾊﾞﾔｼ ﾕｳｷ</t>
  </si>
  <si>
    <t>WAKABAYASHI Yuki</t>
  </si>
  <si>
    <t>金藤　壮佑</t>
    <rPh sb="0" eb="2">
      <t>コンドウ</t>
    </rPh>
    <rPh sb="3" eb="5">
      <t>ソウスケ</t>
    </rPh>
    <phoneticPr fontId="1"/>
  </si>
  <si>
    <t>ｺﾝﾄﾞｳ ｿｳｽｹ</t>
  </si>
  <si>
    <t>KONDO Sosuke</t>
  </si>
  <si>
    <t>原田　優希</t>
    <rPh sb="0" eb="2">
      <t>ハラダ</t>
    </rPh>
    <rPh sb="3" eb="4">
      <t>ユウ</t>
    </rPh>
    <rPh sb="4" eb="5">
      <t>キ</t>
    </rPh>
    <phoneticPr fontId="1"/>
  </si>
  <si>
    <t>ﾊﾗﾀﾞ ﾕｳｷ</t>
  </si>
  <si>
    <t>HARADA Yuki</t>
  </si>
  <si>
    <t>三浦　陽太</t>
    <rPh sb="0" eb="2">
      <t>ミウラ</t>
    </rPh>
    <rPh sb="3" eb="5">
      <t>ヨウタ</t>
    </rPh>
    <phoneticPr fontId="1"/>
  </si>
  <si>
    <t>ﾐｳﾗ ﾖｳﾀ</t>
  </si>
  <si>
    <t>MIURA Yota</t>
  </si>
  <si>
    <t>藤澤　慎平</t>
    <rPh sb="0" eb="2">
      <t>フジサワ</t>
    </rPh>
    <rPh sb="3" eb="5">
      <t>シンペイ</t>
    </rPh>
    <phoneticPr fontId="1"/>
  </si>
  <si>
    <t>ﾌｼﾞｻﾜ ｼﾝﾍﾟｲ</t>
  </si>
  <si>
    <t>FUJISAWA Shimpei</t>
  </si>
  <si>
    <t>豊田　朗磨</t>
    <rPh sb="0" eb="2">
      <t>トヨタ</t>
    </rPh>
    <rPh sb="3" eb="4">
      <t>ロウ</t>
    </rPh>
    <rPh sb="4" eb="5">
      <t>マ</t>
    </rPh>
    <phoneticPr fontId="1"/>
  </si>
  <si>
    <t>ﾄﾖﾀ ﾛｳﾏ</t>
  </si>
  <si>
    <t>TOYOTA Roma</t>
  </si>
  <si>
    <t>田邊　優治</t>
    <rPh sb="0" eb="2">
      <t>タナベ</t>
    </rPh>
    <rPh sb="3" eb="5">
      <t>マサハル</t>
    </rPh>
    <phoneticPr fontId="1"/>
  </si>
  <si>
    <t>ﾀﾅﾍﾞ ﾏｻﾊﾙ</t>
  </si>
  <si>
    <t>TANABE Masaharu</t>
  </si>
  <si>
    <t>古満　仰晴</t>
    <rPh sb="0" eb="2">
      <t>フルミツ</t>
    </rPh>
    <rPh sb="3" eb="4">
      <t>コウ</t>
    </rPh>
    <rPh sb="4" eb="5">
      <t>セイ</t>
    </rPh>
    <phoneticPr fontId="1"/>
  </si>
  <si>
    <t>ﾌﾙﾐﾂ ｺｳｾｲ</t>
  </si>
  <si>
    <t>FURUMITSU Kosei</t>
  </si>
  <si>
    <t>洪　由民</t>
    <rPh sb="0" eb="1">
      <t>ホン</t>
    </rPh>
    <rPh sb="2" eb="3">
      <t>ユ</t>
    </rPh>
    <rPh sb="3" eb="4">
      <t>ミン</t>
    </rPh>
    <phoneticPr fontId="1"/>
  </si>
  <si>
    <t>ﾎﾝ ﾕﾐﾝ</t>
  </si>
  <si>
    <t>HON Yumin</t>
  </si>
  <si>
    <t>國本　健琉</t>
    <rPh sb="0" eb="2">
      <t>クニモト</t>
    </rPh>
    <rPh sb="3" eb="5">
      <t>タケル</t>
    </rPh>
    <phoneticPr fontId="1"/>
  </si>
  <si>
    <t>ｸﾆﾓﾄ ﾀｹﾙ</t>
  </si>
  <si>
    <t>KUNIMOTO Takeru</t>
  </si>
  <si>
    <t>8:55.00</t>
  </si>
  <si>
    <t>9:30.00</t>
  </si>
  <si>
    <t>9:40.00</t>
  </si>
  <si>
    <t>9:50.00</t>
  </si>
  <si>
    <t>9:55.00</t>
  </si>
  <si>
    <t>13:55.00</t>
  </si>
  <si>
    <t>14:05.00</t>
  </si>
  <si>
    <t>14:15.00</t>
  </si>
  <si>
    <t>14:20.00</t>
  </si>
  <si>
    <t>14:30.00</t>
  </si>
  <si>
    <t>14:40.00</t>
  </si>
  <si>
    <t>14:50.00</t>
  </si>
  <si>
    <t>15:20.00</t>
  </si>
  <si>
    <t>15:30.00</t>
  </si>
  <si>
    <t>15:40.00</t>
  </si>
  <si>
    <t>15:50.00</t>
  </si>
  <si>
    <t>16:10.00</t>
  </si>
  <si>
    <t>16:20.00</t>
  </si>
  <si>
    <t>16:40.00</t>
  </si>
  <si>
    <t>411305F2-399F-4C52-BB852F72216F7F8C</t>
    <phoneticPr fontId="1"/>
  </si>
  <si>
    <t>9ABC93D2-DF20-4F98-81FD471CAC5920B2</t>
    <phoneticPr fontId="1"/>
  </si>
  <si>
    <t>B465ACF4-6559-48D5-BCF6BA43F3BA128F</t>
    <phoneticPr fontId="1"/>
  </si>
  <si>
    <t>9D4E2262-194F-42BE-BA15A0C86A8D9774</t>
    <phoneticPr fontId="1"/>
  </si>
  <si>
    <t>930A3818-6F16-40AF-888F4AB0451FF3E8</t>
    <phoneticPr fontId="1"/>
  </si>
  <si>
    <t>17CD6894-5728-41F2-8E17AF599A7E75D4</t>
    <phoneticPr fontId="1"/>
  </si>
  <si>
    <t>758B694A-442F-45FC-B6EBF293B75A0CF3</t>
    <phoneticPr fontId="1"/>
  </si>
  <si>
    <t>0164C7BD-397F-4848-852D62BA0B8649CE</t>
    <phoneticPr fontId="1"/>
  </si>
  <si>
    <t>2D7636C9-4AD5-48AD-B7A01FDD20ACD1D6</t>
    <phoneticPr fontId="1"/>
  </si>
  <si>
    <t>306C9ECA-F855-45D3-A6CD6574D8C4509D</t>
    <phoneticPr fontId="1"/>
  </si>
  <si>
    <t>C1380A0A-4FA9-423B-BC2A30DB15F894B9</t>
    <phoneticPr fontId="1"/>
  </si>
  <si>
    <t>A1B9C2DE-C826-409D-8F56D60173811496</t>
    <phoneticPr fontId="1"/>
  </si>
  <si>
    <t>DC487129-E6F2-49D5-AD593FEF2708ECAD</t>
    <phoneticPr fontId="1"/>
  </si>
  <si>
    <t>30B7702F-E2A6-433C-AF9ADC8827DE375E</t>
    <phoneticPr fontId="1"/>
  </si>
  <si>
    <t>F2419707-55E6-47AB-AEF2E7EE8E0818D9</t>
    <phoneticPr fontId="1"/>
  </si>
  <si>
    <t>80AEC35D-E87D-4409-9E2BAFE69A339B24</t>
    <phoneticPr fontId="1"/>
  </si>
  <si>
    <t>8008FA00-9ED5-41D7-804148D593C0A021</t>
    <phoneticPr fontId="1"/>
  </si>
  <si>
    <t>D6111E99-3611-43B6-8AC33733A8448996</t>
    <phoneticPr fontId="1"/>
  </si>
  <si>
    <t>17CA4831-A8F2-447E-B0178519413A567F</t>
    <phoneticPr fontId="1"/>
  </si>
  <si>
    <t>E3BB4E02-A162-44A1-AA6EB8A9E63CDAB5</t>
    <phoneticPr fontId="1"/>
  </si>
  <si>
    <t>F70202BB-917E-489D-912F99DC53FC34E9</t>
    <phoneticPr fontId="1"/>
  </si>
  <si>
    <t>35901A5D-3FCB-490E-BC34E22261D262B7</t>
    <phoneticPr fontId="1"/>
  </si>
  <si>
    <t>0E0F5B02-77F1-4F24-85EB53E8DBB38118</t>
    <phoneticPr fontId="1"/>
  </si>
  <si>
    <t>70C5A577-2E40-4EB0-B2F9739CE7836A8F</t>
    <phoneticPr fontId="1"/>
  </si>
  <si>
    <t>DE320265-B39F-4D15-A957B6608B95DA56</t>
    <phoneticPr fontId="1"/>
  </si>
  <si>
    <t>55EC18A0-6461-4F5C-8C97C7EFFF531A6B</t>
    <phoneticPr fontId="1"/>
  </si>
  <si>
    <t>A88E56E6-087D-4B36-8300A2324D3C0807</t>
    <phoneticPr fontId="1"/>
  </si>
  <si>
    <t>0B1ECAED-22C1-4255-911770BAB3B98F46</t>
    <phoneticPr fontId="1"/>
  </si>
  <si>
    <t>D38668DD-07EE-4FAB-B17966A906F8B72A</t>
    <phoneticPr fontId="1"/>
  </si>
  <si>
    <t>AE9391D1-08B5-465A-B3B758427453E0CB</t>
    <phoneticPr fontId="1"/>
  </si>
  <si>
    <t>E64E4F35-FBD1-4D31-90D6D8E502F91C2B</t>
    <phoneticPr fontId="1"/>
  </si>
  <si>
    <t>9863E36F-D08F-4EFD-AA73B9F5A531C8FF</t>
    <phoneticPr fontId="1"/>
  </si>
  <si>
    <t>916C03B7-C875-4CF9-9D583884A5FDC7C9</t>
    <phoneticPr fontId="1"/>
  </si>
  <si>
    <t>0C3F54BA-C81C-4F0E-BD60989E53994B76</t>
    <phoneticPr fontId="1"/>
  </si>
  <si>
    <t>DE255D0F-D94D-48F8-81E037174F7FD4E3</t>
    <phoneticPr fontId="1"/>
  </si>
  <si>
    <t>3AD53140-5FD0-4220-8739BD243D3B4F7C</t>
    <phoneticPr fontId="1"/>
  </si>
  <si>
    <t>AFD148D0-634F-40F4-BC74F63A90493F5D</t>
    <phoneticPr fontId="1"/>
  </si>
  <si>
    <t>AEB533A3-762A-4AF0-AFD43EFAE246FF87</t>
    <phoneticPr fontId="1"/>
  </si>
  <si>
    <t>3A0A727B-E065-44D5-BB6E0E6F6E06B578</t>
    <phoneticPr fontId="1"/>
  </si>
  <si>
    <t>98C00AB5-7410-4062-B3556FEE1A13B149</t>
    <phoneticPr fontId="1"/>
  </si>
  <si>
    <t>035D9A67-D536-4756-B130211E6D9716D1</t>
    <phoneticPr fontId="1"/>
  </si>
  <si>
    <t>E24F2EFD-DBF0-4A35-AF2B0017758469EB</t>
    <phoneticPr fontId="1"/>
  </si>
  <si>
    <t>男子3000m</t>
  </si>
  <si>
    <t>女子5000m</t>
  </si>
  <si>
    <t>PR</t>
  </si>
  <si>
    <t>PRI</t>
  </si>
  <si>
    <t>広島県国際記録</t>
    <rPh sb="0" eb="3">
      <t>ヒロシマケン</t>
    </rPh>
    <rPh sb="3" eb="5">
      <t>コクサイ</t>
    </rPh>
    <rPh sb="5" eb="7">
      <t>キロク</t>
    </rPh>
    <phoneticPr fontId="1"/>
  </si>
  <si>
    <t>PHR</t>
  </si>
  <si>
    <t>PHI</t>
  </si>
  <si>
    <t>広島県高校記録</t>
    <rPh sb="0" eb="3">
      <t>ヒロシマケン</t>
    </rPh>
    <rPh sb="3" eb="5">
      <t>コウコウ</t>
    </rPh>
    <rPh sb="5" eb="7">
      <t>キロク</t>
    </rPh>
    <phoneticPr fontId="1"/>
  </si>
  <si>
    <t>広島県高校国際記録</t>
    <rPh sb="0" eb="3">
      <t>ヒロシマケン</t>
    </rPh>
    <rPh sb="3" eb="5">
      <t>コウコウ</t>
    </rPh>
    <rPh sb="5" eb="7">
      <t>コクサイ</t>
    </rPh>
    <rPh sb="7" eb="9">
      <t>キロク</t>
    </rPh>
    <phoneticPr fontId="1"/>
  </si>
  <si>
    <t>PJH</t>
  </si>
  <si>
    <t>広島県中学記録</t>
    <rPh sb="0" eb="3">
      <t>ヒロシマケン</t>
    </rPh>
    <rPh sb="3" eb="5">
      <t>チュウガク</t>
    </rPh>
    <rPh sb="5" eb="7">
      <t>キロク</t>
    </rPh>
    <phoneticPr fontId="1"/>
  </si>
  <si>
    <t>7:54.1</t>
    <phoneticPr fontId="1"/>
  </si>
  <si>
    <t>13:29.11</t>
    <phoneticPr fontId="1"/>
  </si>
  <si>
    <t>8:57.37</t>
    <phoneticPr fontId="1"/>
  </si>
  <si>
    <t>15:15.16</t>
    <phoneticPr fontId="1"/>
  </si>
  <si>
    <t>7:49.03</t>
    <phoneticPr fontId="1"/>
  </si>
  <si>
    <t>13:15.44</t>
    <phoneticPr fontId="1"/>
  </si>
  <si>
    <t>8:39.91</t>
    <phoneticPr fontId="1"/>
  </si>
  <si>
    <t>14:55.23</t>
    <phoneticPr fontId="1"/>
  </si>
  <si>
    <t>8:08.71</t>
    <phoneticPr fontId="1"/>
  </si>
  <si>
    <t>13:50.67</t>
    <phoneticPr fontId="1"/>
  </si>
  <si>
    <t>7:52.57</t>
    <phoneticPr fontId="1"/>
  </si>
  <si>
    <t>9:04.69</t>
    <phoneticPr fontId="1"/>
  </si>
  <si>
    <t>15:31.92</t>
    <phoneticPr fontId="1"/>
  </si>
  <si>
    <t>8:51.77</t>
    <phoneticPr fontId="1"/>
  </si>
  <si>
    <t>15:23.9</t>
    <phoneticPr fontId="1"/>
  </si>
  <si>
    <t>8:25.65</t>
    <phoneticPr fontId="1"/>
  </si>
  <si>
    <t>9:24.52</t>
    <phoneticPr fontId="1"/>
  </si>
  <si>
    <t>鎧坂　哲哉</t>
    <rPh sb="0" eb="1">
      <t>ヨロイ</t>
    </rPh>
    <rPh sb="1" eb="2">
      <t>ザカ</t>
    </rPh>
    <rPh sb="3" eb="5">
      <t>テツヤ</t>
    </rPh>
    <phoneticPr fontId="1"/>
  </si>
  <si>
    <t>原　万理子</t>
    <rPh sb="0" eb="1">
      <t>ハラ</t>
    </rPh>
    <rPh sb="2" eb="5">
      <t>マリコ</t>
    </rPh>
    <phoneticPr fontId="1"/>
  </si>
  <si>
    <t>小鳥田　貴子</t>
    <rPh sb="0" eb="3">
      <t>コトリダ</t>
    </rPh>
    <rPh sb="4" eb="6">
      <t>タカコ</t>
    </rPh>
    <phoneticPr fontId="1"/>
  </si>
  <si>
    <t>Dan KIPLANGAT</t>
    <phoneticPr fontId="1"/>
  </si>
  <si>
    <t>Charles NDIRANGU</t>
    <phoneticPr fontId="1"/>
  </si>
  <si>
    <t>Teresiah MUTHONI</t>
    <phoneticPr fontId="1"/>
  </si>
  <si>
    <t>吉田　圭太</t>
    <rPh sb="0" eb="2">
      <t>ヨシダ</t>
    </rPh>
    <rPh sb="3" eb="5">
      <t>ケイタ</t>
    </rPh>
    <phoneticPr fontId="1"/>
  </si>
  <si>
    <t>向井　優香</t>
    <rPh sb="0" eb="2">
      <t>ムカイ</t>
    </rPh>
    <rPh sb="3" eb="5">
      <t>ユウカ</t>
    </rPh>
    <phoneticPr fontId="1"/>
  </si>
  <si>
    <t>Susan WAIRIMU</t>
    <phoneticPr fontId="1"/>
  </si>
  <si>
    <t>新迫　志希</t>
    <rPh sb="0" eb="2">
      <t>シンサコ</t>
    </rPh>
    <rPh sb="3" eb="5">
      <t>シキ</t>
    </rPh>
    <phoneticPr fontId="1"/>
  </si>
  <si>
    <t>亀高　純子</t>
    <rPh sb="0" eb="2">
      <t>カメタカ</t>
    </rPh>
    <rPh sb="3" eb="5">
      <t>ジュンコ</t>
    </rPh>
    <phoneticPr fontId="1"/>
  </si>
  <si>
    <t>志和中</t>
    <rPh sb="0" eb="2">
      <t>シワ</t>
    </rPh>
    <rPh sb="2" eb="3">
      <t>チュウ</t>
    </rPh>
    <phoneticPr fontId="1"/>
  </si>
  <si>
    <t>KEN</t>
    <phoneticPr fontId="1"/>
  </si>
  <si>
    <t>日本体育大</t>
    <rPh sb="0" eb="2">
      <t>ニッポン</t>
    </rPh>
    <rPh sb="2" eb="4">
      <t>タイイク</t>
    </rPh>
    <phoneticPr fontId="1"/>
  </si>
  <si>
    <t>明治大</t>
    <rPh sb="0" eb="2">
      <t>メイジ</t>
    </rPh>
    <rPh sb="2" eb="3">
      <t>ダイ</t>
    </rPh>
    <phoneticPr fontId="1"/>
  </si>
  <si>
    <t>ダイイチ</t>
    <phoneticPr fontId="1"/>
  </si>
  <si>
    <t>デオデオ</t>
    <phoneticPr fontId="1"/>
  </si>
  <si>
    <t>ＪＦＥスチール</t>
    <phoneticPr fontId="1"/>
  </si>
  <si>
    <t>ダイソー</t>
    <phoneticPr fontId="1"/>
  </si>
  <si>
    <t>県内</t>
    <rPh sb="0" eb="2">
      <t>ケンナイ</t>
    </rPh>
    <phoneticPr fontId="1"/>
  </si>
  <si>
    <t>国内,県内</t>
    <rPh sb="0" eb="2">
      <t>コクナイ</t>
    </rPh>
    <rPh sb="3" eb="5">
      <t>ケンナイ</t>
    </rPh>
    <phoneticPr fontId="1"/>
  </si>
  <si>
    <t>国内,県内,高校</t>
    <rPh sb="0" eb="2">
      <t>コクナイ</t>
    </rPh>
    <rPh sb="3" eb="5">
      <t>ケンナイ</t>
    </rPh>
    <rPh sb="6" eb="8">
      <t>コウコウ</t>
    </rPh>
    <phoneticPr fontId="1"/>
  </si>
  <si>
    <t>県内,高校</t>
    <rPh sb="0" eb="2">
      <t>ケンナイ</t>
    </rPh>
    <rPh sb="3" eb="5">
      <t>コウコウ</t>
    </rPh>
    <phoneticPr fontId="1"/>
  </si>
  <si>
    <t>県内,中学</t>
    <rPh sb="0" eb="2">
      <t>ケンナイ</t>
    </rPh>
    <rPh sb="3" eb="5">
      <t>チュウガク</t>
    </rPh>
    <phoneticPr fontId="1"/>
  </si>
  <si>
    <t>49D79B3F-31B0-499B-AD83F809EA5CA99F</t>
    <phoneticPr fontId="1"/>
  </si>
  <si>
    <t>39782F56-C03E-4677-AECFC27F190DB87C</t>
    <phoneticPr fontId="1"/>
  </si>
  <si>
    <t>0353044A-5D57-4E6F-B80C3FBACD1D1347</t>
    <phoneticPr fontId="1"/>
  </si>
  <si>
    <t>EAAA921F-84AA-4318-BE09093070DDA313</t>
    <phoneticPr fontId="1"/>
  </si>
  <si>
    <t>9C455676-D4C1-40E2-A9B66C197D3D6E51</t>
    <phoneticPr fontId="1"/>
  </si>
  <si>
    <t>5E36DEEB-42D3-4AD4-948939F4D39C1F43</t>
    <phoneticPr fontId="1"/>
  </si>
  <si>
    <t>9F877149-B0FD-42C0-9A920C82576F8969</t>
    <phoneticPr fontId="1"/>
  </si>
  <si>
    <t>EBB40E80-83A4-4400-85C4A6EEF8530CEF</t>
    <phoneticPr fontId="1"/>
  </si>
  <si>
    <t>8E8340AA-1444-43A8-90AE72E75EB729E0</t>
    <phoneticPr fontId="1"/>
  </si>
  <si>
    <t>E5027535-3657-456B-A9567EDA8ADF8981</t>
    <phoneticPr fontId="1"/>
  </si>
  <si>
    <t>386737FB-7E05-40C1-AD6D5BC34382430F</t>
    <phoneticPr fontId="1"/>
  </si>
  <si>
    <t>F2020162-CF1E-461C-A2AA64437555840A</t>
    <phoneticPr fontId="1"/>
  </si>
  <si>
    <t>9C8DCE68-ECE6-47F3-A86F975D786BD6F6</t>
    <phoneticPr fontId="1"/>
  </si>
  <si>
    <t>51D5D59C-D39E-4C33-9C5F90A3A969971D</t>
    <phoneticPr fontId="1"/>
  </si>
  <si>
    <t>EE829100-CA20-4103-AEBDBB03EAA8A3F5</t>
    <phoneticPr fontId="1"/>
  </si>
  <si>
    <t>10000m</t>
  </si>
  <si>
    <t>生年月日</t>
    <rPh sb="0" eb="2">
      <t>セイネン</t>
    </rPh>
    <rPh sb="2" eb="4">
      <t>ガッピ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</si>
</sst>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/d\ h:mm;@"/>
    <numFmt numFmtId="177" formatCode="0\ &quot;分&quot;&quot;前&quot;"/>
    <numFmt numFmtId="178" formatCode="??0.0\ &quot;分&quot;"/>
    <numFmt numFmtId="179" formatCode="m&quot;月&quot;d&quot;日&quot;;@"/>
    <numFmt numFmtId="180" formatCode="yyyy/m/d;@"/>
  </numFmts>
  <fonts count="1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b/>
      <sz val="24"/>
      <color theme="1"/>
      <name val="ＭＳ 明朝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ＭＳ 明朝"/>
      <family val="1"/>
      <charset val="128"/>
    </font>
    <font>
      <sz val="11"/>
      <color theme="1"/>
      <name val="ＭＳ 明朝"/>
      <family val="1"/>
      <charset val="128"/>
    </font>
    <font>
      <b/>
      <u/>
      <sz val="11"/>
      <color theme="1"/>
      <name val="ＭＳ 明朝"/>
      <family val="1"/>
      <charset val="128"/>
    </font>
    <font>
      <u/>
      <sz val="11"/>
      <color theme="1"/>
      <name val="ＭＳ 明朝"/>
      <family val="2"/>
      <charset val="128"/>
    </font>
    <font>
      <u/>
      <sz val="11"/>
      <color theme="1"/>
      <name val="ＭＳ 明朝"/>
      <family val="1"/>
      <charset val="128"/>
    </font>
    <font>
      <u/>
      <sz val="11"/>
      <color theme="10"/>
      <name val="ＭＳ 明朝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60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82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0" borderId="5" xfId="0" applyBorder="1">
      <alignment vertical="center"/>
    </xf>
    <xf numFmtId="0" fontId="0" fillId="3" borderId="5" xfId="0" applyFill="1" applyBorder="1">
      <alignment vertical="center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3" borderId="7" xfId="0" applyFill="1" applyBorder="1">
      <alignment vertical="center"/>
    </xf>
    <xf numFmtId="0" fontId="0" fillId="0" borderId="8" xfId="0" applyBorder="1">
      <alignment vertical="center"/>
    </xf>
    <xf numFmtId="0" fontId="0" fillId="3" borderId="8" xfId="0" applyFill="1" applyBorder="1">
      <alignment vertical="center"/>
    </xf>
    <xf numFmtId="0" fontId="0" fillId="0" borderId="8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0" fillId="0" borderId="13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21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17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3" xfId="0" applyFill="1" applyBorder="1">
      <alignment vertical="center"/>
    </xf>
    <xf numFmtId="0" fontId="0" fillId="5" borderId="14" xfId="0" applyFill="1" applyBorder="1">
      <alignment vertical="center"/>
    </xf>
    <xf numFmtId="0" fontId="0" fillId="5" borderId="18" xfId="0" applyFill="1" applyBorder="1">
      <alignment vertical="center"/>
    </xf>
    <xf numFmtId="0" fontId="0" fillId="5" borderId="15" xfId="0" applyFill="1" applyBorder="1">
      <alignment vertical="center"/>
    </xf>
    <xf numFmtId="0" fontId="0" fillId="5" borderId="7" xfId="0" applyFill="1" applyBorder="1">
      <alignment vertical="center"/>
    </xf>
    <xf numFmtId="0" fontId="0" fillId="0" borderId="24" xfId="0" applyBorder="1">
      <alignment vertical="center"/>
    </xf>
    <xf numFmtId="0" fontId="0" fillId="6" borderId="9" xfId="0" applyFill="1" applyBorder="1">
      <alignment vertical="center"/>
    </xf>
    <xf numFmtId="0" fontId="0" fillId="6" borderId="13" xfId="0" applyFill="1" applyBorder="1">
      <alignment vertical="center"/>
    </xf>
    <xf numFmtId="0" fontId="0" fillId="6" borderId="14" xfId="0" applyFill="1" applyBorder="1">
      <alignment vertical="center"/>
    </xf>
    <xf numFmtId="0" fontId="0" fillId="6" borderId="16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13" xfId="0" quotePrefix="1" applyFill="1" applyBorder="1">
      <alignment vertical="center"/>
    </xf>
    <xf numFmtId="0" fontId="0" fillId="6" borderId="20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7" xfId="0" applyFill="1" applyBorder="1">
      <alignment vertical="center"/>
    </xf>
    <xf numFmtId="0" fontId="0" fillId="0" borderId="15" xfId="0" applyBorder="1">
      <alignment vertical="center"/>
    </xf>
    <xf numFmtId="0" fontId="0" fillId="0" borderId="7" xfId="0" applyBorder="1">
      <alignment vertical="center"/>
    </xf>
    <xf numFmtId="0" fontId="0" fillId="7" borderId="15" xfId="0" applyFill="1" applyBorder="1">
      <alignment vertical="center"/>
    </xf>
    <xf numFmtId="0" fontId="0" fillId="7" borderId="7" xfId="0" applyFill="1" applyBorder="1">
      <alignment vertical="center"/>
    </xf>
    <xf numFmtId="0" fontId="0" fillId="0" borderId="23" xfId="0" quotePrefix="1" applyBorder="1">
      <alignment vertical="center"/>
    </xf>
    <xf numFmtId="0" fontId="0" fillId="6" borderId="25" xfId="0" applyFill="1" applyBorder="1">
      <alignment vertical="center"/>
    </xf>
    <xf numFmtId="0" fontId="0" fillId="6" borderId="26" xfId="0" applyFill="1" applyBorder="1">
      <alignment vertical="center"/>
    </xf>
    <xf numFmtId="0" fontId="0" fillId="6" borderId="27" xfId="0" applyFill="1" applyBorder="1">
      <alignment vertical="center"/>
    </xf>
    <xf numFmtId="0" fontId="0" fillId="6" borderId="28" xfId="0" applyFill="1" applyBorder="1">
      <alignment vertical="center"/>
    </xf>
    <xf numFmtId="0" fontId="0" fillId="0" borderId="29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6" borderId="31" xfId="0" applyFill="1" applyBorder="1">
      <alignment vertical="center"/>
    </xf>
    <xf numFmtId="0" fontId="0" fillId="6" borderId="30" xfId="0" applyFill="1" applyBorder="1">
      <alignment vertical="center"/>
    </xf>
    <xf numFmtId="0" fontId="0" fillId="3" borderId="32" xfId="0" applyFill="1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4" xfId="0" applyFill="1" applyBorder="1">
      <alignment vertical="center"/>
    </xf>
    <xf numFmtId="0" fontId="0" fillId="3" borderId="23" xfId="0" applyFill="1" applyBorder="1">
      <alignment vertical="center"/>
    </xf>
    <xf numFmtId="0" fontId="0" fillId="0" borderId="35" xfId="0" applyBorder="1">
      <alignment vertical="center"/>
    </xf>
    <xf numFmtId="0" fontId="0" fillId="3" borderId="35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2" xfId="0" applyFill="1" applyBorder="1">
      <alignment vertical="center"/>
    </xf>
    <xf numFmtId="0" fontId="0" fillId="0" borderId="38" xfId="0" applyBorder="1">
      <alignment vertical="center"/>
    </xf>
    <xf numFmtId="0" fontId="0" fillId="3" borderId="38" xfId="0" applyFill="1" applyBorder="1">
      <alignment vertical="center"/>
    </xf>
    <xf numFmtId="0" fontId="0" fillId="3" borderId="18" xfId="0" applyFill="1" applyBorder="1">
      <alignment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5" fillId="2" borderId="33" xfId="0" applyFont="1" applyFill="1" applyBorder="1">
      <alignment vertical="center"/>
    </xf>
    <xf numFmtId="0" fontId="5" fillId="2" borderId="37" xfId="0" applyFont="1" applyFill="1" applyBorder="1">
      <alignment vertical="center"/>
    </xf>
    <xf numFmtId="0" fontId="5" fillId="2" borderId="32" xfId="0" applyFont="1" applyFill="1" applyBorder="1">
      <alignment vertical="center"/>
    </xf>
    <xf numFmtId="0" fontId="5" fillId="2" borderId="41" xfId="0" applyFont="1" applyFill="1" applyBorder="1" applyAlignment="1">
      <alignment horizontal="center" vertical="top"/>
    </xf>
    <xf numFmtId="0" fontId="5" fillId="2" borderId="42" xfId="0" applyFont="1" applyFill="1" applyBorder="1" applyAlignment="1">
      <alignment horizontal="center" vertical="top"/>
    </xf>
    <xf numFmtId="0" fontId="5" fillId="2" borderId="42" xfId="0" quotePrefix="1" applyFont="1" applyFill="1" applyBorder="1" applyAlignment="1">
      <alignment horizontal="center" vertical="top"/>
    </xf>
    <xf numFmtId="0" fontId="5" fillId="2" borderId="42" xfId="0" applyFont="1" applyFill="1" applyBorder="1" applyAlignment="1">
      <alignment horizontal="center" vertical="top" wrapText="1"/>
    </xf>
    <xf numFmtId="0" fontId="5" fillId="2" borderId="43" xfId="0" applyFont="1" applyFill="1" applyBorder="1" applyAlignment="1">
      <alignment horizontal="center" vertical="top"/>
    </xf>
    <xf numFmtId="0" fontId="5" fillId="2" borderId="44" xfId="0" applyFont="1" applyFill="1" applyBorder="1" applyAlignment="1">
      <alignment horizontal="center" vertical="top" wrapText="1"/>
    </xf>
    <xf numFmtId="0" fontId="0" fillId="0" borderId="37" xfId="0" applyBorder="1">
      <alignment vertical="center"/>
    </xf>
    <xf numFmtId="0" fontId="0" fillId="0" borderId="39" xfId="0" applyBorder="1">
      <alignment vertical="center"/>
    </xf>
    <xf numFmtId="176" fontId="0" fillId="0" borderId="33" xfId="0" applyNumberFormat="1" applyBorder="1">
      <alignment vertical="center"/>
    </xf>
    <xf numFmtId="176" fontId="0" fillId="0" borderId="35" xfId="0" applyNumberFormat="1" applyBorder="1">
      <alignment vertical="center"/>
    </xf>
    <xf numFmtId="0" fontId="0" fillId="0" borderId="40" xfId="0" applyBorder="1">
      <alignment vertical="center"/>
    </xf>
    <xf numFmtId="176" fontId="0" fillId="0" borderId="38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2" borderId="36" xfId="0" applyFont="1" applyFill="1" applyBorder="1" applyAlignment="1">
      <alignment horizontal="center" vertical="top"/>
    </xf>
    <xf numFmtId="0" fontId="5" fillId="2" borderId="33" xfId="0" applyFont="1" applyFill="1" applyBorder="1" applyAlignment="1">
      <alignment horizontal="center" vertical="top"/>
    </xf>
    <xf numFmtId="0" fontId="5" fillId="2" borderId="33" xfId="0" applyFont="1" applyFill="1" applyBorder="1" applyAlignment="1">
      <alignment horizontal="center" vertical="top" wrapText="1"/>
    </xf>
    <xf numFmtId="0" fontId="5" fillId="2" borderId="37" xfId="0" applyFont="1" applyFill="1" applyBorder="1" applyAlignment="1">
      <alignment horizontal="center" vertical="top" wrapText="1"/>
    </xf>
    <xf numFmtId="177" fontId="0" fillId="0" borderId="38" xfId="0" applyNumberFormat="1" applyBorder="1" applyAlignment="1">
      <alignment horizontal="center" vertical="center"/>
    </xf>
    <xf numFmtId="177" fontId="0" fillId="0" borderId="40" xfId="0" applyNumberFormat="1" applyBorder="1" applyAlignment="1">
      <alignment horizontal="center" vertical="center"/>
    </xf>
    <xf numFmtId="177" fontId="0" fillId="0" borderId="35" xfId="0" applyNumberFormat="1" applyBorder="1" applyAlignment="1">
      <alignment horizontal="center" vertical="center"/>
    </xf>
    <xf numFmtId="177" fontId="0" fillId="0" borderId="39" xfId="0" applyNumberFormat="1" applyBorder="1" applyAlignment="1">
      <alignment horizontal="center" vertical="center"/>
    </xf>
    <xf numFmtId="178" fontId="0" fillId="0" borderId="38" xfId="0" applyNumberFormat="1" applyBorder="1" applyAlignment="1">
      <alignment horizontal="center" vertical="center"/>
    </xf>
    <xf numFmtId="178" fontId="0" fillId="0" borderId="35" xfId="0" applyNumberForma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centerContinuous" vertical="center"/>
    </xf>
    <xf numFmtId="0" fontId="5" fillId="2" borderId="11" xfId="0" applyFont="1" applyFill="1" applyBorder="1" applyAlignment="1">
      <alignment horizontal="centerContinuous" vertical="center"/>
    </xf>
    <xf numFmtId="0" fontId="5" fillId="2" borderId="4" xfId="0" applyFont="1" applyFill="1" applyBorder="1" applyAlignment="1">
      <alignment horizontal="centerContinuous" vertical="center"/>
    </xf>
    <xf numFmtId="0" fontId="5" fillId="2" borderId="31" xfId="0" applyFont="1" applyFill="1" applyBorder="1" applyAlignment="1">
      <alignment horizontal="center" vertical="top"/>
    </xf>
    <xf numFmtId="0" fontId="5" fillId="2" borderId="21" xfId="0" applyFont="1" applyFill="1" applyBorder="1" applyAlignment="1">
      <alignment horizontal="center" vertical="top"/>
    </xf>
    <xf numFmtId="0" fontId="5" fillId="2" borderId="48" xfId="0" applyFont="1" applyFill="1" applyBorder="1" applyAlignment="1">
      <alignment horizontal="center" vertical="top"/>
    </xf>
    <xf numFmtId="0" fontId="5" fillId="2" borderId="49" xfId="0" applyFont="1" applyFill="1" applyBorder="1" applyAlignment="1">
      <alignment horizontal="center" vertical="top"/>
    </xf>
    <xf numFmtId="0" fontId="5" fillId="2" borderId="21" xfId="0" applyFont="1" applyFill="1" applyBorder="1" applyAlignment="1">
      <alignment horizontal="center" vertical="top" wrapText="1"/>
    </xf>
    <xf numFmtId="49" fontId="6" fillId="0" borderId="35" xfId="0" applyNumberFormat="1" applyFont="1" applyBorder="1">
      <alignment vertical="center"/>
    </xf>
    <xf numFmtId="49" fontId="6" fillId="0" borderId="39" xfId="0" applyNumberFormat="1" applyFont="1" applyBorder="1">
      <alignment vertical="center"/>
    </xf>
    <xf numFmtId="0" fontId="6" fillId="0" borderId="35" xfId="0" applyFont="1" applyBorder="1">
      <alignment vertical="center"/>
    </xf>
    <xf numFmtId="0" fontId="6" fillId="0" borderId="45" xfId="0" applyFont="1" applyBorder="1">
      <alignment vertical="center"/>
    </xf>
    <xf numFmtId="49" fontId="6" fillId="0" borderId="23" xfId="0" applyNumberFormat="1" applyFont="1" applyBorder="1">
      <alignment vertical="center"/>
    </xf>
    <xf numFmtId="49" fontId="6" fillId="0" borderId="19" xfId="0" applyNumberFormat="1" applyFont="1" applyBorder="1">
      <alignment vertical="center"/>
    </xf>
    <xf numFmtId="0" fontId="5" fillId="2" borderId="47" xfId="0" applyFont="1" applyFill="1" applyBorder="1" applyAlignment="1">
      <alignment horizontal="center" vertical="top" wrapText="1"/>
    </xf>
    <xf numFmtId="0" fontId="5" fillId="2" borderId="49" xfId="0" applyFont="1" applyFill="1" applyBorder="1" applyAlignment="1">
      <alignment horizontal="center" vertical="top" wrapText="1"/>
    </xf>
    <xf numFmtId="0" fontId="7" fillId="2" borderId="21" xfId="0" applyFont="1" applyFill="1" applyBorder="1" applyAlignment="1">
      <alignment horizontal="center" vertical="top"/>
    </xf>
    <xf numFmtId="0" fontId="7" fillId="2" borderId="41" xfId="0" applyFont="1" applyFill="1" applyBorder="1" applyAlignment="1">
      <alignment horizontal="center" vertical="top"/>
    </xf>
    <xf numFmtId="0" fontId="7" fillId="2" borderId="42" xfId="0" applyFont="1" applyFill="1" applyBorder="1" applyAlignment="1">
      <alignment horizontal="center" vertical="top"/>
    </xf>
    <xf numFmtId="0" fontId="7" fillId="2" borderId="42" xfId="0" applyFont="1" applyFill="1" applyBorder="1" applyAlignment="1">
      <alignment horizontal="center" vertical="top" wrapText="1"/>
    </xf>
    <xf numFmtId="0" fontId="7" fillId="2" borderId="33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 wrapText="1"/>
    </xf>
    <xf numFmtId="0" fontId="8" fillId="2" borderId="13" xfId="0" applyFont="1" applyFill="1" applyBorder="1">
      <alignment vertical="center"/>
    </xf>
    <xf numFmtId="0" fontId="9" fillId="2" borderId="13" xfId="0" applyFont="1" applyFill="1" applyBorder="1">
      <alignment vertical="center"/>
    </xf>
    <xf numFmtId="0" fontId="6" fillId="3" borderId="35" xfId="0" applyFont="1" applyFill="1" applyBorder="1">
      <alignment vertical="center"/>
    </xf>
    <xf numFmtId="0" fontId="6" fillId="3" borderId="8" xfId="0" applyFont="1" applyFill="1" applyBorder="1">
      <alignment vertical="center"/>
    </xf>
    <xf numFmtId="0" fontId="5" fillId="2" borderId="1" xfId="0" applyFont="1" applyFill="1" applyBorder="1" applyAlignment="1">
      <alignment horizontal="center" vertical="top"/>
    </xf>
    <xf numFmtId="0" fontId="5" fillId="2" borderId="46" xfId="0" applyFont="1" applyFill="1" applyBorder="1" applyAlignment="1">
      <alignment horizontal="center" vertical="top"/>
    </xf>
    <xf numFmtId="0" fontId="6" fillId="3" borderId="39" xfId="0" applyFont="1" applyFill="1" applyBorder="1">
      <alignment vertical="center"/>
    </xf>
    <xf numFmtId="0" fontId="0" fillId="0" borderId="22" xfId="0" quotePrefix="1" applyBorder="1">
      <alignment vertical="center"/>
    </xf>
    <xf numFmtId="49" fontId="6" fillId="0" borderId="22" xfId="0" applyNumberFormat="1" applyFont="1" applyBorder="1">
      <alignment vertical="center"/>
    </xf>
    <xf numFmtId="0" fontId="6" fillId="0" borderId="38" xfId="0" applyFont="1" applyBorder="1">
      <alignment vertical="center"/>
    </xf>
    <xf numFmtId="49" fontId="6" fillId="0" borderId="38" xfId="0" applyNumberFormat="1" applyFont="1" applyBorder="1">
      <alignment vertical="center"/>
    </xf>
    <xf numFmtId="0" fontId="6" fillId="3" borderId="50" xfId="0" applyFont="1" applyFill="1" applyBorder="1">
      <alignment vertical="center"/>
    </xf>
    <xf numFmtId="0" fontId="6" fillId="3" borderId="40" xfId="0" applyFont="1" applyFill="1" applyBorder="1">
      <alignment vertical="center"/>
    </xf>
    <xf numFmtId="0" fontId="6" fillId="0" borderId="24" xfId="0" applyFont="1" applyBorder="1">
      <alignment vertical="center"/>
    </xf>
    <xf numFmtId="49" fontId="6" fillId="0" borderId="40" xfId="0" applyNumberFormat="1" applyFont="1" applyBorder="1">
      <alignment vertical="center"/>
    </xf>
    <xf numFmtId="49" fontId="6" fillId="0" borderId="18" xfId="0" applyNumberFormat="1" applyFont="1" applyBorder="1">
      <alignment vertical="center"/>
    </xf>
    <xf numFmtId="0" fontId="0" fillId="0" borderId="51" xfId="0" applyBorder="1">
      <alignment vertical="center"/>
    </xf>
    <xf numFmtId="0" fontId="0" fillId="0" borderId="52" xfId="0" applyBorder="1">
      <alignment vertical="center"/>
    </xf>
    <xf numFmtId="0" fontId="0" fillId="0" borderId="54" xfId="0" applyBorder="1">
      <alignment vertical="center"/>
    </xf>
    <xf numFmtId="49" fontId="0" fillId="0" borderId="35" xfId="0" applyNumberFormat="1" applyBorder="1" applyAlignment="1">
      <alignment horizontal="right" vertical="center"/>
    </xf>
    <xf numFmtId="0" fontId="0" fillId="0" borderId="0" xfId="0" applyAlignment="1">
      <alignment vertical="top"/>
    </xf>
    <xf numFmtId="0" fontId="0" fillId="8" borderId="51" xfId="0" applyFill="1" applyBorder="1">
      <alignment vertical="center"/>
    </xf>
    <xf numFmtId="0" fontId="0" fillId="8" borderId="52" xfId="0" applyFill="1" applyBorder="1">
      <alignment vertical="center"/>
    </xf>
    <xf numFmtId="0" fontId="0" fillId="8" borderId="53" xfId="0" applyFill="1" applyBorder="1">
      <alignment vertical="center"/>
    </xf>
    <xf numFmtId="0" fontId="0" fillId="8" borderId="22" xfId="0" applyFill="1" applyBorder="1">
      <alignment vertical="center"/>
    </xf>
    <xf numFmtId="0" fontId="0" fillId="8" borderId="38" xfId="0" applyFill="1" applyBorder="1">
      <alignment vertical="center"/>
    </xf>
    <xf numFmtId="0" fontId="0" fillId="8" borderId="18" xfId="0" applyFill="1" applyBorder="1">
      <alignment vertical="center"/>
    </xf>
    <xf numFmtId="0" fontId="0" fillId="8" borderId="23" xfId="0" applyFill="1" applyBorder="1">
      <alignment vertical="center"/>
    </xf>
    <xf numFmtId="0" fontId="0" fillId="8" borderId="35" xfId="0" applyFill="1" applyBorder="1">
      <alignment vertical="center"/>
    </xf>
    <xf numFmtId="0" fontId="0" fillId="8" borderId="19" xfId="0" applyFill="1" applyBorder="1">
      <alignment vertical="center"/>
    </xf>
    <xf numFmtId="0" fontId="7" fillId="2" borderId="55" xfId="0" applyFont="1" applyFill="1" applyBorder="1" applyAlignment="1">
      <alignment horizontal="center" vertical="top"/>
    </xf>
    <xf numFmtId="0" fontId="5" fillId="2" borderId="56" xfId="0" applyFont="1" applyFill="1" applyBorder="1" applyAlignment="1">
      <alignment horizontal="center" vertical="top"/>
    </xf>
    <xf numFmtId="0" fontId="7" fillId="2" borderId="56" xfId="0" applyFont="1" applyFill="1" applyBorder="1" applyAlignment="1">
      <alignment horizontal="center" vertical="top"/>
    </xf>
    <xf numFmtId="0" fontId="5" fillId="2" borderId="57" xfId="0" applyFont="1" applyFill="1" applyBorder="1" applyAlignment="1">
      <alignment horizontal="center" vertical="top"/>
    </xf>
    <xf numFmtId="0" fontId="5" fillId="2" borderId="58" xfId="0" applyFont="1" applyFill="1" applyBorder="1" applyAlignment="1">
      <alignment horizontal="center" vertical="top"/>
    </xf>
    <xf numFmtId="0" fontId="5" fillId="2" borderId="59" xfId="0" applyFont="1" applyFill="1" applyBorder="1" applyAlignment="1">
      <alignment horizontal="center" vertical="top"/>
    </xf>
    <xf numFmtId="179" fontId="0" fillId="0" borderId="13" xfId="0" applyNumberFormat="1" applyBorder="1">
      <alignment vertical="center"/>
    </xf>
    <xf numFmtId="0" fontId="0" fillId="3" borderId="40" xfId="0" applyFill="1" applyBorder="1">
      <alignment vertical="center"/>
    </xf>
    <xf numFmtId="0" fontId="0" fillId="3" borderId="45" xfId="0" applyFill="1" applyBorder="1">
      <alignment vertical="center"/>
    </xf>
    <xf numFmtId="0" fontId="10" fillId="0" borderId="39" xfId="1" applyNumberFormat="1" applyBorder="1" applyAlignment="1">
      <alignment horizontal="center" vertical="center"/>
    </xf>
    <xf numFmtId="0" fontId="10" fillId="0" borderId="40" xfId="1" applyNumberFormat="1" applyBorder="1" applyAlignment="1">
      <alignment horizontal="center" vertical="center"/>
    </xf>
    <xf numFmtId="0" fontId="0" fillId="3" borderId="39" xfId="0" applyFill="1" applyBorder="1">
      <alignment vertical="center"/>
    </xf>
    <xf numFmtId="0" fontId="0" fillId="0" borderId="38" xfId="0" quotePrefix="1" applyBorder="1">
      <alignment vertical="center"/>
    </xf>
    <xf numFmtId="49" fontId="0" fillId="0" borderId="52" xfId="0" quotePrefix="1" applyNumberFormat="1" applyBorder="1" applyAlignment="1">
      <alignment horizontal="right" vertical="center"/>
    </xf>
    <xf numFmtId="49" fontId="0" fillId="0" borderId="38" xfId="0" quotePrefix="1" applyNumberFormat="1" applyBorder="1" applyAlignment="1">
      <alignment horizontal="right" vertical="center"/>
    </xf>
    <xf numFmtId="49" fontId="0" fillId="0" borderId="35" xfId="0" quotePrefix="1" applyNumberFormat="1" applyBorder="1" applyAlignment="1">
      <alignment horizontal="right" vertical="center"/>
    </xf>
    <xf numFmtId="180" fontId="6" fillId="0" borderId="35" xfId="0" applyNumberFormat="1" applyFont="1" applyBorder="1">
      <alignment vertical="center"/>
    </xf>
    <xf numFmtId="180" fontId="6" fillId="0" borderId="38" xfId="0" applyNumberFormat="1" applyFont="1" applyBorder="1">
      <alignment vertical="center"/>
    </xf>
    <xf numFmtId="0" fontId="0" fillId="0" borderId="13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3" xfId="0" applyBorder="1" applyAlignment="1">
      <alignment vertical="center" wrapText="1"/>
    </xf>
    <xf numFmtId="0" fontId="0" fillId="0" borderId="14" xfId="0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171">
    <dxf>
      <fill>
        <patternFill patternType="solid">
          <fgColor indexed="64"/>
          <bgColor theme="4" tint="0.79998168889431442"/>
        </patternFill>
      </fill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 style="hair">
          <color auto="1"/>
        </left>
        <right/>
        <top style="hair">
          <color auto="1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30" formatCode="@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double">
          <color auto="1"/>
        </bottom>
      </border>
    </dxf>
    <dxf>
      <font>
        <b/>
        <family val="1"/>
      </font>
      <fill>
        <patternFill patternType="solid">
          <fgColor indexed="64"/>
          <bgColor theme="7" tint="0.79998168889431442"/>
        </patternFill>
      </fill>
      <alignment horizontal="center" vertical="top" textRotation="0" wrapText="0" indent="0" justifyLastLine="0" shrinkToFit="0" readingOrder="0"/>
    </dxf>
    <dxf>
      <font>
        <b val="0"/>
        <family val="1"/>
      </font>
      <numFmt numFmtId="30" formatCode="@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family val="1"/>
      </font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border diagonalUp="0" diagonalDown="0" outline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family val="1"/>
      </font>
      <fill>
        <patternFill patternType="solid">
          <fgColor indexed="64"/>
          <bgColor theme="8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</border>
    </dxf>
    <dxf>
      <font>
        <b val="0"/>
        <family val="1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明朝"/>
        <family val="1"/>
        <charset val="128"/>
        <scheme val="none"/>
      </font>
      <numFmt numFmtId="180" formatCode="yyyy/m/d;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family val="1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family val="1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family val="1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family val="1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family val="1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family val="1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family val="1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ont>
        <b val="0"/>
        <family val="1"/>
      </font>
      <numFmt numFmtId="30" formatCode="@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thin">
          <color auto="1"/>
        </bottom>
      </border>
    </dxf>
    <dxf>
      <font>
        <b val="0"/>
        <family val="1"/>
      </font>
    </dxf>
    <dxf>
      <border>
        <bottom style="hair">
          <color auto="1"/>
        </bottom>
      </border>
    </dxf>
    <dxf>
      <font>
        <b/>
        <family val="1"/>
      </font>
      <fill>
        <patternFill patternType="solid">
          <fgColor indexed="64"/>
          <bgColor theme="7" tint="0.79998168889431442"/>
        </patternFill>
      </fill>
      <alignment horizontal="center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</border>
    </dxf>
    <dxf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family val="1"/>
      </font>
      <fill>
        <patternFill patternType="solid">
          <fgColor indexed="64"/>
          <bgColor theme="7" tint="0.79998168889431442"/>
        </patternFill>
      </fill>
      <alignment horizontal="center" vertical="top" textRotation="0" wrapText="1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horizontal style="hair">
          <color auto="1"/>
        </horizontal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horizontal style="hair">
          <color auto="1"/>
        </horizontal>
      </border>
    </dxf>
    <dxf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6" formatCode="yyyy/m/d\ h:mm;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6" formatCode="yyyy/m/d\ h:mm;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family val="1"/>
      </font>
      <fill>
        <patternFill patternType="solid">
          <fgColor indexed="64"/>
          <bgColor theme="7" tint="0.79998168889431442"/>
        </patternFill>
      </fill>
      <alignment horizontal="center" vertical="top" textRotation="0" indent="0" justifyLastLine="0" shrinkToFit="0" readingOrder="0"/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7" formatCode="0\ &quot;分&quot;&quot;前&quot;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7" formatCode="0\ &quot;分&quot;&quot;前&quot;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8" formatCode="??0.0\ &quot;分&quot;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family val="1"/>
      </font>
      <fill>
        <patternFill patternType="solid">
          <fgColor indexed="64"/>
          <bgColor theme="7" tint="0.79998168889431442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alignment horizontal="general" vertical="top" textRotation="0" wrapText="1" indent="0" justifyLastLine="0" shrinkToFit="0" readingOrder="0"/>
      <border diagonalUp="0" diagonalDown="0" outline="0">
        <left style="thin">
          <color auto="1"/>
        </left>
        <right/>
        <top style="hair">
          <color auto="1"/>
        </top>
        <bottom style="hair">
          <color auto="1"/>
        </bottom>
      </border>
    </dxf>
    <dxf>
      <alignment horizontal="general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auto="1"/>
        </right>
        <top style="hair">
          <color auto="1"/>
        </top>
        <bottom style="hair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1371600</xdr:colOff>
      <xdr:row>0</xdr:row>
      <xdr:rowOff>0</xdr:rowOff>
    </xdr:from>
    <xdr:to>
      <xdr:col>6</xdr:col>
      <xdr:colOff>19050</xdr:colOff>
      <xdr:row>1</xdr:row>
      <xdr:rowOff>19650</xdr:rowOff>
    </xdr:to>
    <xdr:sp macro="[0]!EventListSheet.BtnEventExport_Clicked" textlink="">
      <xdr:nvSpPr>
        <xdr:cNvPr id="3" name="正方形/長方形 2">
          <a:extLst>
            <a:ext uri="{FF2B5EF4-FFF2-40B4-BE49-F238E27FC236}">
              <a16:creationId xmlns:a16="http://schemas.microsoft.com/office/drawing/2014/main" id="{0959514D-EC54-4789-8D46-145923B96B24}"/>
            </a:ext>
          </a:extLst>
        </xdr:cNvPr>
        <xdr:cNvSpPr/>
      </xdr:nvSpPr>
      <xdr:spPr>
        <a:xfrm>
          <a:off x="5343525" y="0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入力票作成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1371600</xdr:colOff>
      <xdr:row>1</xdr:row>
      <xdr:rowOff>19650</xdr:rowOff>
    </xdr:to>
    <xdr:sp macro="[0]!RoundListSheet.BtnRoundExportClicked" textlink="">
      <xdr:nvSpPr>
        <xdr:cNvPr id="2" name="正方形/長方形 1">
          <a:extLst>
            <a:ext uri="{FF2B5EF4-FFF2-40B4-BE49-F238E27FC236}">
              <a16:creationId xmlns:a16="http://schemas.microsoft.com/office/drawing/2014/main" id="{58CF4399-605A-4029-B046-8AD953FB7EE6}"/>
            </a:ext>
          </a:extLst>
        </xdr:cNvPr>
        <xdr:cNvSpPr/>
      </xdr:nvSpPr>
      <xdr:spPr>
        <a:xfrm>
          <a:off x="3619500" y="0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ラウンド反映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1371600</xdr:colOff>
      <xdr:row>1</xdr:row>
      <xdr:rowOff>19650</xdr:rowOff>
    </xdr:to>
    <xdr:sp macro="[0]!AthleteListSheet.BtnEntriesExportClicked" textlink="">
      <xdr:nvSpPr>
        <xdr:cNvPr id="2" name="正方形/長方形 1">
          <a:extLst>
            <a:ext uri="{FF2B5EF4-FFF2-40B4-BE49-F238E27FC236}">
              <a16:creationId xmlns:a16="http://schemas.microsoft.com/office/drawing/2014/main" id="{E5A84B45-F4A9-4ED4-BF67-951BB6F2F56F}"/>
            </a:ext>
          </a:extLst>
        </xdr:cNvPr>
        <xdr:cNvSpPr/>
      </xdr:nvSpPr>
      <xdr:spPr>
        <a:xfrm>
          <a:off x="2562225" y="0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エントリー反映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0</xdr:row>
      <xdr:rowOff>38100</xdr:rowOff>
    </xdr:from>
    <xdr:to>
      <xdr:col>11</xdr:col>
      <xdr:colOff>314325</xdr:colOff>
      <xdr:row>1</xdr:row>
      <xdr:rowOff>57750</xdr:rowOff>
    </xdr:to>
    <xdr:sp macro="[0]!GameRecordSheet.BtnGameRecordsExport_Clicked" textlink="">
      <xdr:nvSpPr>
        <xdr:cNvPr id="2" name="正方形/長方形 1">
          <a:extLst>
            <a:ext uri="{FF2B5EF4-FFF2-40B4-BE49-F238E27FC236}">
              <a16:creationId xmlns:a16="http://schemas.microsoft.com/office/drawing/2014/main" id="{790FE804-7788-8889-AD1C-BC2B7C488FEE}"/>
            </a:ext>
          </a:extLst>
        </xdr:cNvPr>
        <xdr:cNvSpPr/>
      </xdr:nvSpPr>
      <xdr:spPr>
        <a:xfrm>
          <a:off x="11772900" y="38100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歴代記録反映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618C38-D8B2-4743-955D-FF4BAE22F89D}" name="SystemMessageList" displayName="SystemMessageList" ref="A2:E17" totalsRowShown="0" headerRowDxfId="170" headerRowBorderDxfId="169" tableBorderDxfId="168">
  <autoFilter ref="A2:E17" xr:uid="{0A618C38-D8B2-4743-955D-FF4BAE22F89D}"/>
  <tableColumns count="5">
    <tableColumn id="1" xr3:uid="{88EA959C-3D53-44C9-AA1C-A75C78FE772B}" name="コード" dataDxfId="167">
      <calculatedColumnFormula>IF(C3="","","S"&amp;LEFT(B3)&amp;TEXT(C3,"000"))</calculatedColumnFormula>
    </tableColumn>
    <tableColumn id="2" xr3:uid="{9136B517-F0CF-40B8-A57D-9514712A72B9}" name="種別" dataDxfId="166"/>
    <tableColumn id="3" xr3:uid="{7066E65F-B5CD-49FD-B3BB-AE89A994B137}" name="連番" dataDxfId="165">
      <calculatedColumnFormula>IF(B3="","",MAX($C$2:OFFSET(C3,-1,0))+1)</calculatedColumnFormula>
    </tableColumn>
    <tableColumn id="4" xr3:uid="{BE79C034-2368-4D43-9DD5-8015CD920E6F}" name="メッセージ概略" dataDxfId="164"/>
    <tableColumn id="5" xr3:uid="{66C6159D-F8F8-492A-8783-2D9F7C235F8E}" name="メッセージ内容" dataDxfId="16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4CF623-7331-4A6F-BE0A-9C4749AD29C7}" name="CompetitionEventList" displayName="CompetitionEventList" ref="A3:U53" totalsRowShown="0" headerRowDxfId="162" headerRowBorderDxfId="161" tableBorderDxfId="160">
  <autoFilter ref="A3:U53" xr:uid="{F64CF623-7331-4A6F-BE0A-9C4749AD29C7}"/>
  <tableColumns count="21">
    <tableColumn id="1" xr3:uid="{22690E31-6954-479F-B9D2-A0DF578CCDBD}" name="ID" dataDxfId="159">
      <calculatedColumnFormula>IF(N4="","",MAX($A$3:OFFSET(A4,-1,0))+1)</calculatedColumnFormula>
    </tableColumn>
    <tableColumn id="2" xr3:uid="{731AA802-6949-4FAD-8D51-98C6B29F58DD}" name="クラス" dataDxfId="158"/>
    <tableColumn id="3" xr3:uid="{0DC31A4A-343A-4010-A56E-417127692156}" name="性別" dataDxfId="157"/>
    <tableColumn id="4" xr3:uid="{D97B65E1-C666-4006-8D6F-3376F4EDBF54}" name="種目" dataDxfId="156"/>
    <tableColumn id="5" xr3:uid="{1BB37AEC-34B9-49E1-9F8F-E811709C777F}" name="規格" dataDxfId="155"/>
    <tableColumn id="6" xr3:uid="{B3FD7802-53E5-4324-9BE9-16BD8BFFEC78}" name="競技区分" dataDxfId="154"/>
    <tableColumn id="7" xr3:uid="{03EDB0B0-C4DB-41AD-8887-2623C7A5869E}" name="ラウンド数" dataDxfId="153"/>
    <tableColumn id="19" xr3:uid="{8956188C-014C-4526-B2C1-482BCB22AF28}" name="1組ごとの_x000a_人数" dataDxfId="152"/>
    <tableColumn id="8" xr3:uid="{423C169D-9156-4795-914E-101DB88530DA}" name="風力計測" dataDxfId="151"/>
    <tableColumn id="9" xr3:uid="{DBB7B3B3-1201-40CD-AC9A-9274F8755DD1}" name="リアクション_x000a_タイム" dataDxfId="150"/>
    <tableColumn id="21" xr3:uid="{D3DECEA0-DEC5-41AB-B815-400503A0C2A7}" name="組当たりの_x000a_競技時間" dataDxfId="149"/>
    <tableColumn id="22" xr3:uid="{C3D2064F-152A-42D3-98F1-74C9670265EA}" name="招集開始_x000a_タイミング" dataDxfId="148"/>
    <tableColumn id="23" xr3:uid="{0FCDA26A-3A56-4CDC-82FD-597128097301}" name="招集完了_x000a_タイミング" dataDxfId="147"/>
    <tableColumn id="13" xr3:uid="{0BB30399-D337-4970-A8E4-85079D490807}" name="種目名2" dataDxfId="146">
      <calculatedColumnFormula>B4&amp;C4&amp;D4&amp;IF(E4="",""," (" &amp; E4&amp;")")</calculatedColumnFormula>
    </tableColumn>
    <tableColumn id="20" xr3:uid="{3C4A702A-593E-4BE6-9BE6-CA5102F688C3}" name="ID2" dataDxfId="145">
      <calculatedColumnFormula>$A4</calculatedColumnFormula>
    </tableColumn>
    <tableColumn id="14" xr3:uid="{30B56392-FACB-4B81-9118-D16740E70051}" name="ひな型" dataDxfId="144">
      <calculatedColumnFormula>IF($F4="","",VLOOKUP($F4,OFFSET(Code_Category,0,1),2,FALSE))</calculatedColumnFormula>
    </tableColumn>
    <tableColumn id="15" xr3:uid="{C49F426C-F15C-4253-A7BA-F3DDA81DAEF3}" name="CSV" dataDxfId="143">
      <calculatedColumnFormula>IF($F4="","",VLOOKUP($F4,OFFSET(Code_Category,0,1),3,FALSE))</calculatedColumnFormula>
    </tableColumn>
    <tableColumn id="16" xr3:uid="{3BBBE9F6-D176-42DA-9372-1C51678D48AD}" name="競技区分コード" dataDxfId="142">
      <calculatedColumnFormula>IF($F4="","",VLOOKUP($F4,OFFSET(Code_Category,0,1),4,FALSE))</calculatedColumnFormula>
    </tableColumn>
    <tableColumn id="17" xr3:uid="{10370D14-6A28-4511-A461-36BE87E3FCC8}" name="風力計測有無" dataDxfId="141">
      <calculatedColumnFormula>IF($I4="",0,VLOOKUP($I4,OFFSET(Code_Wind,0,1),2,FALSE))</calculatedColumnFormula>
    </tableColumn>
    <tableColumn id="18" xr3:uid="{B9EE62F6-FBDA-447F-8380-0E460A7402C0}" name="RT計測有無" dataDxfId="140">
      <calculatedColumnFormula>IF($J4="",0,VLOOKUP($J4,OFFSET(Code_Reaction,0,1),2,FALSE))</calculatedColumnFormula>
    </tableColumn>
    <tableColumn id="11" xr3:uid="{A4106C3B-D71D-4BED-A4DB-82C156E8DE63}" name="列8" dataDxfId="139">
      <calculatedColumnFormula>A4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1D2AA6-828B-4EF5-B6E5-31037310284B}" name="CompetitionRoundList" displayName="CompetitionRoundList" ref="A3:R15" totalsRowShown="0" headerRowDxfId="138" headerRowBorderDxfId="137" tableBorderDxfId="136">
  <autoFilter ref="A3:R15" xr:uid="{F01D2AA6-828B-4EF5-B6E5-31037310284B}"/>
  <tableColumns count="18">
    <tableColumn id="1" xr3:uid="{B5208274-B1BA-4F4E-90C6-A5C7BDD6DE6A}" name="種目ID" dataDxfId="135">
      <calculatedColumnFormula>IF($B4="","",VLOOKUP($B4,OFFSET(INDIRECT("CompetitionEventList"),0,13),2,FALSE))</calculatedColumnFormula>
    </tableColumn>
    <tableColumn id="2" xr3:uid="{61AA07E6-075E-4C4C-983D-2822779247FF}" name="種目" dataDxfId="134"/>
    <tableColumn id="3" xr3:uid="{4CC218AE-973C-4581-A724-A8CE84C52B00}" name="ラウンドID" dataDxfId="133"/>
    <tableColumn id="4" xr3:uid="{90D2F152-4BC9-4107-A293-4EDFCD6A0ADD}" name="ラウンド名" dataDxfId="132"/>
    <tableColumn id="5" xr3:uid="{FC2694FA-E3D1-45D1-8017-05855E2A62F0}" name="開始日時" dataDxfId="131"/>
    <tableColumn id="6" xr3:uid="{63B92A03-B258-49D4-A0A8-AA498DFF6E95}" name="参加_x000a_人数" dataDxfId="130"/>
    <tableColumn id="7" xr3:uid="{3FBE1235-3FB7-4BBE-9920-EA830C13A03B}" name="組数" dataDxfId="129"/>
    <tableColumn id="8" xr3:uid="{35F371B3-8EC2-4554-87E5-97FEC0C24519}" name="組の決め方" dataDxfId="128"/>
    <tableColumn id="9" xr3:uid="{C6212669-59F0-4037-860E-8EBCE13982D9}" name="順番の決め方" dataDxfId="127"/>
    <tableColumn id="10" xr3:uid="{C493DBF2-5FB8-4A01-B44C-0A3CDECEBDB7}" name="着取" dataDxfId="126"/>
    <tableColumn id="11" xr3:uid="{898BF8DD-F9EA-4244-A382-DF2DF88401FF}" name="基準記録" dataDxfId="125"/>
    <tableColumn id="12" xr3:uid="{CB816C89-438B-492B-9559-EF16226232E6}" name="＋α" dataDxfId="124"/>
    <tableColumn id="13" xr3:uid="{45E197B2-2EBA-4D45-8168-D9C47946F53D}" name="競技場所" dataDxfId="123"/>
    <tableColumn id="22" xr3:uid="{4A0CD212-277A-4C93-BA73-4D208BA61B4A}" name="終了予定_x000a_日時" dataDxfId="122"/>
    <tableColumn id="14" xr3:uid="{37FE0C5D-4B8E-494F-BF49-657B780C5C8B}" name="招集する_x000a_組数" dataDxfId="121"/>
    <tableColumn id="15" xr3:uid="{226F5650-A6EB-4D14-83CB-76B32EA87F69}" name="列4" dataDxfId="120">
      <calculatedColumnFormula>IF($H4="","",VLOOKUP($H4,OFFSET(Code_Group_Strategy,0,1),2,FALSE))</calculatedColumnFormula>
    </tableColumn>
    <tableColumn id="16" xr3:uid="{657EC78E-2356-4CC4-AD4B-0BD0CE6881E2}" name="列5" dataDxfId="119">
      <calculatedColumnFormula>IF($I4="","",VLOOKUP($I4,OFFSET(Code_Lane_Strategy,0,1),2,FALSE))</calculatedColumnFormula>
    </tableColumn>
    <tableColumn id="20" xr3:uid="{564CEE4D-CBC8-43B7-99C1-3AE8316D1C3A}" name="ID" dataDxfId="11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61E92C-AA84-4508-9332-6A09ACE78568}" name="TeamList" displayName="TeamList" ref="A3:N5" totalsRowShown="0" headerRowDxfId="117" headerRowBorderDxfId="116" tableBorderDxfId="115">
  <autoFilter ref="A3:N5" xr:uid="{2D61E92C-AA84-4508-9332-6A09ACE78568}"/>
  <tableColumns count="14">
    <tableColumn id="1" xr3:uid="{446992A4-F9DC-4063-89F3-9DCAD99C7F72}" name="チーム名" dataDxfId="114"/>
    <tableColumn id="2" xr3:uid="{51AFC1D2-1E95-4D49-A59A-CAF340E24269}" name="チーム名_x000a_(カナ)" dataDxfId="113"/>
    <tableColumn id="3" xr3:uid="{BC7E942F-67DD-4C11-A736-81338D019DF6}" name="チーム名_x000a_(ラテン表記)" dataDxfId="112"/>
    <tableColumn id="4" xr3:uid="{2F887FD8-4DD6-417C-8B6C-23A51F2FCF55}" name="チーム名_x000a_(正式名称)" dataDxfId="111"/>
    <tableColumn id="5" xr3:uid="{890D6601-4E73-430D-AF62-4EB9254CA888}" name="所在地" dataDxfId="110"/>
    <tableColumn id="13" xr3:uid="{EBEF2C14-3F0A-4450-A57D-C4DEA94E5FF8}" name="国籍" dataDxfId="109"/>
    <tableColumn id="6" xr3:uid="{C14F7E6B-07C5-4FAE-9598-E6F89AFD24DF}" name="チーム区分" dataDxfId="108"/>
    <tableColumn id="7" xr3:uid="{00050E2F-F0F8-4A83-B17F-8E90162BF9BE}" name="責任者氏名" dataDxfId="107"/>
    <tableColumn id="8" xr3:uid="{CF80E42B-DAEA-4FF8-9D1C-4FC858C0DE87}" name="連絡先" dataDxfId="106"/>
    <tableColumn id="9" xr3:uid="{72860E4C-5053-4C14-A72C-5C9F9615D490}" name="緊急連絡先" dataDxfId="105"/>
    <tableColumn id="10" xr3:uid="{98D7B1D6-83CD-4C7E-B41A-E74E1E9CF3EE}" name="対抗戦" dataDxfId="104"/>
    <tableColumn id="11" xr3:uid="{C3C9C42E-9BEE-4BA8-ACF3-64264F59E7C2}" name="登録_x000a_選手数" dataDxfId="103">
      <calculatedColumnFormula>HYPERLINK("選手!A4",COUNTIF(OFFSET(INDIRECT("AthletePersonList"),0,12,,1),N4))</calculatedColumnFormula>
    </tableColumn>
    <tableColumn id="14" xr3:uid="{92FB36CC-A058-4621-80C0-1F8E36A340AA}" name="対抗戦_x000a_有無" dataDxfId="102"/>
    <tableColumn id="12" xr3:uid="{1001AFEF-30EF-45CB-B73C-5A15394945FC}" name="チームID" dataDxfId="10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D70CD4-FF5E-417C-A46A-AA05433F7E0E}" name="AthletePersonList" displayName="AthletePersonList" ref="A4:BV47" totalsRowShown="0" headerRowDxfId="100" dataDxfId="98" headerRowBorderDxfId="99" tableBorderDxfId="97" totalsRowBorderDxfId="96">
  <autoFilter ref="A4:BV47" xr:uid="{B6D70CD4-FF5E-417C-A46A-AA05433F7E0E}"/>
  <tableColumns count="74">
    <tableColumn id="1" xr3:uid="{F7F8A473-8238-4D5A-859F-820F38FF0198}" name="個人登録番号" dataDxfId="95"/>
    <tableColumn id="2" xr3:uid="{1198FE0E-4E89-4CAA-9CDB-2A2FFD1D6C9D}" name="性別" dataDxfId="94"/>
    <tableColumn id="3" xr3:uid="{A269C1EF-94D7-4867-BDA8-3EFFD8EEC34A}" name="Bib" dataDxfId="93"/>
    <tableColumn id="4" xr3:uid="{8385969E-77AA-40AA-98CD-9F8A173EC84D}" name="氏名" dataDxfId="92"/>
    <tableColumn id="5" xr3:uid="{7A6CB887-86A5-4841-AFE0-56E229997596}" name="年" dataDxfId="91"/>
    <tableColumn id="6" xr3:uid="{1F75121D-2C3F-46F2-A88E-800DDE66E12A}" name="氏名_x000a_(カナ)" dataDxfId="90"/>
    <tableColumn id="7" xr3:uid="{D9135829-E3C0-4D3B-A15A-C2E43E8EA719}" name="氏名_x000a_(ラテン表記)" dataDxfId="89"/>
    <tableColumn id="8" xr3:uid="{64509D1F-4AA8-4EF3-B66F-5BB10620D6B5}" name="所属チーム" dataDxfId="88"/>
    <tableColumn id="9" xr3:uid="{27D9539F-3E94-4A8B-9F4A-F012BDB17AE6}" name="所属地" dataDxfId="87"/>
    <tableColumn id="10" xr3:uid="{D12BCBBA-EA97-4659-A86E-E88798D3009F}" name="国籍" dataDxfId="86"/>
    <tableColumn id="64" xr3:uid="{7A7F35F6-CF59-44BE-8187-906604403117}" name="生年月日" dataDxfId="85"/>
    <tableColumn id="11" xr3:uid="{D7B99DCA-36D5-4F74-8D08-BB855A78399B}" name="選手区分" dataDxfId="84"/>
    <tableColumn id="12" xr3:uid="{21935983-0C4F-435E-991D-F6EDD0C988A8}" name="個人ID" dataDxfId="83"/>
    <tableColumn id="13" xr3:uid="{19300EF5-17E7-4187-A35A-A1E3B33DA259}" name="チームID" dataDxfId="82"/>
    <tableColumn id="14" xr3:uid="{F723819A-3F60-4BA6-86B1-CC4BC909ACFB}" name="出場種目1" dataDxfId="81"/>
    <tableColumn id="15" xr3:uid="{F5B18FFA-AC5D-41D7-9C1F-9870C2DB96C4}" name="OPN" dataDxfId="80"/>
    <tableColumn id="65" xr3:uid="{E8929333-3384-42C1-A7CE-A9CA6C310C68}" name="種目ID_x000a_(種目1)" dataDxfId="79"/>
    <tableColumn id="16" xr3:uid="{8BED25F5-AF9C-4918-8EB9-FF483FE97DF7}" name="資格記録１_x000a_(種目1)" dataDxfId="78"/>
    <tableColumn id="17" xr3:uid="{2DDD902E-B147-494A-AC4F-DC10BF61D06E}" name="資格記録２_x000a_(種目1)" dataDxfId="77"/>
    <tableColumn id="18" xr3:uid="{C804666C-099E-4155-8860-8978BEEC44FA}" name="資格記録３_x000a_(種目1)" dataDxfId="76"/>
    <tableColumn id="19" xr3:uid="{3EEB9D20-6EFA-4952-A93D-A923939CF48D}" name="出場種目2" dataDxfId="75"/>
    <tableColumn id="20" xr3:uid="{D72E8590-0265-4E4A-B729-D6756BBF2EF7}" name="OPN2" dataDxfId="74"/>
    <tableColumn id="66" xr3:uid="{117632B4-9120-4091-8FA1-7ECAEA2FFC35}" name="種目ID_x000a_(種目2)" dataDxfId="73"/>
    <tableColumn id="21" xr3:uid="{63D61D29-F696-413B-8F51-0518EE0CE29E}" name="資格記録１_x000a_(種目2)" dataDxfId="72"/>
    <tableColumn id="22" xr3:uid="{2917F461-8B4F-4F55-90D6-263F482A7D45}" name="資格記録２_x000a_(種目2)" dataDxfId="71"/>
    <tableColumn id="23" xr3:uid="{5A4DAB8A-BCB0-48E0-959F-919F934F7CFC}" name="資格記録３_x000a_(種目2)" dataDxfId="70"/>
    <tableColumn id="24" xr3:uid="{192FE392-F229-4BD6-9C9B-26980BB170D0}" name="出場種目3" dataDxfId="69"/>
    <tableColumn id="25" xr3:uid="{8D86848B-B1BD-468C-AFA7-C0CB2B400F74}" name="OPN3" dataDxfId="68"/>
    <tableColumn id="67" xr3:uid="{7BCE8B65-A6C3-4645-9F6E-8E781BEE3367}" name="種目ID_x000a_(種目3)" dataDxfId="67"/>
    <tableColumn id="26" xr3:uid="{36710112-D824-4C81-9B06-1D2AAD59E5FD}" name="資格記録１_x000a_(種目3)" dataDxfId="66"/>
    <tableColumn id="27" xr3:uid="{3674EF14-A0D2-4BB5-9086-9F9CB4629BC2}" name="資格記録２_x000a_(種目3)" dataDxfId="65"/>
    <tableColumn id="28" xr3:uid="{23570FD4-A4B5-4387-9F59-9CA592E5F7E3}" name="資格記録３_x000a_(種目3)" dataDxfId="64"/>
    <tableColumn id="29" xr3:uid="{EE9D17F2-85BC-4257-B4E0-776756A4C654}" name="出場種目4" dataDxfId="63"/>
    <tableColumn id="30" xr3:uid="{3EC316D8-2EFF-42C7-A16D-2EC3F2457215}" name="OPN4" dataDxfId="62"/>
    <tableColumn id="68" xr3:uid="{2ED3A572-DA51-453E-BAAE-B287379D79B8}" name="種目ID_x000a_(種目4)" dataDxfId="61"/>
    <tableColumn id="31" xr3:uid="{51B66CA2-C95A-4253-95CA-3A466BFA9DE5}" name="資格記録１_x000a_(種目4)" dataDxfId="60"/>
    <tableColumn id="32" xr3:uid="{A48B29AA-8DAA-4375-9124-8ECA52907527}" name="資格記録２_x000a_(種目4)" dataDxfId="59"/>
    <tableColumn id="33" xr3:uid="{4049CBBA-89BA-46AE-A3B8-5986CFCCE9BC}" name="資格記録３_x000a_(種目4)" dataDxfId="58"/>
    <tableColumn id="34" xr3:uid="{CB9446DA-771E-40EC-A3A5-894BE18DD4A8}" name="出場種目5" dataDxfId="57"/>
    <tableColumn id="35" xr3:uid="{AE38038C-310B-48B9-8E0D-70DA4B9A0E7B}" name="OPN5" dataDxfId="56"/>
    <tableColumn id="69" xr3:uid="{FC24FDE1-BC09-4557-8373-CD316F1D10D0}" name="種目ID_x000a_(種目5)" dataDxfId="55"/>
    <tableColumn id="36" xr3:uid="{8DE22B68-5299-4B73-AFCF-360098A67A47}" name="資格記録１_x000a_(種目5)" dataDxfId="54"/>
    <tableColumn id="37" xr3:uid="{A61EA96C-E361-43A4-9A07-762BBA3B523C}" name="資格記録２_x000a_(種目5)" dataDxfId="53"/>
    <tableColumn id="38" xr3:uid="{04635718-F578-4014-953D-B3D93C5E8BCB}" name="資格記録３_x000a_(種目5)" dataDxfId="52"/>
    <tableColumn id="39" xr3:uid="{DBA94501-35BE-452E-87C8-7783C71649CF}" name="出場種目6" dataDxfId="51"/>
    <tableColumn id="40" xr3:uid="{78BFC177-EEDA-404C-A6B8-F805EA0DD1A6}" name="OPN6" dataDxfId="50"/>
    <tableColumn id="70" xr3:uid="{2BBF9C5A-7B7D-49CA-92C2-0069C709DEA8}" name="種目ID_x000a_(種目6)" dataDxfId="49"/>
    <tableColumn id="41" xr3:uid="{7502DEA2-2820-43AC-A01C-C103194A03DA}" name="資格記録１_x000a_(種目6)" dataDxfId="48"/>
    <tableColumn id="42" xr3:uid="{3D06CCED-EBC9-4113-8470-8F687FF12D83}" name="資格記録２_x000a_(種目6)" dataDxfId="47"/>
    <tableColumn id="43" xr3:uid="{2B932412-3B11-4861-B9D5-93DCD12E02F7}" name="資格記録３_x000a_(種目6)" dataDxfId="46"/>
    <tableColumn id="44" xr3:uid="{2E88B0DA-6A2D-4ADE-8911-09CDA1B027F8}" name="出場種目7" dataDxfId="45"/>
    <tableColumn id="45" xr3:uid="{AA7D00E5-E832-4AF9-9645-C07AD3ECBCC4}" name="OPN7" dataDxfId="44"/>
    <tableColumn id="71" xr3:uid="{CE2AA376-BE0C-4DDC-8AEF-F0F102CB3810}" name="種目ID_x000a_(種目7)" dataDxfId="43"/>
    <tableColumn id="46" xr3:uid="{9BD214A2-040B-4C38-8F6C-D79B7DCDD128}" name="資格記録１_x000a_(種目7)" dataDxfId="42"/>
    <tableColumn id="47" xr3:uid="{82C61167-0B53-476A-9557-B6768891F778}" name="資格記録２_x000a_(種目7)" dataDxfId="41"/>
    <tableColumn id="48" xr3:uid="{D114DE21-117B-4DE9-967A-56C059BA5C5A}" name="資格記録３_x000a_(種目7)" dataDxfId="40"/>
    <tableColumn id="49" xr3:uid="{B2CD0CCA-BC1D-47B5-A603-CEDB12A06A60}" name="出場種目8" dataDxfId="39"/>
    <tableColumn id="50" xr3:uid="{B836C3D8-A96E-4FA9-AF45-93C52D61BF89}" name="OPN8" dataDxfId="38"/>
    <tableColumn id="72" xr3:uid="{6EE59153-61C6-4E1B-B4AB-89D4204010DF}" name="種目ID_x000a_(種目8)" dataDxfId="37"/>
    <tableColumn id="51" xr3:uid="{7F71A1FA-D1FA-4175-BBD8-23DA95C61614}" name="資格記録１_x000a_(種目8)" dataDxfId="36"/>
    <tableColumn id="52" xr3:uid="{17625415-86CD-4E3D-B2D2-B901F7B5A5EE}" name="資格記録２_x000a_(種目8)" dataDxfId="35"/>
    <tableColumn id="53" xr3:uid="{C0B7676F-BA6F-4F4B-88E8-66DEB3E03451}" name="資格記録３_x000a_(種目6)2" dataDxfId="34"/>
    <tableColumn id="54" xr3:uid="{B9CF95CF-E312-4591-BE72-FB801729FB16}" name="出場種目9" dataDxfId="33"/>
    <tableColumn id="55" xr3:uid="{DB40FA9B-2977-4033-9BBA-D1D734AEE376}" name="OPN9" dataDxfId="32"/>
    <tableColumn id="73" xr3:uid="{C5FE174B-7466-4467-81A6-2A1BD357F7A4}" name="種目ID_x000a_(種目9)" dataDxfId="31"/>
    <tableColumn id="56" xr3:uid="{1C95EEEA-E8B8-4A0D-9B2B-552A28C3ECC4}" name="資格記録１_x000a_(種目9)" dataDxfId="30"/>
    <tableColumn id="57" xr3:uid="{153AA901-7AF9-4D6F-B3C7-796545025859}" name="資格記録２_x000a_(種目9)" dataDxfId="29"/>
    <tableColumn id="58" xr3:uid="{748B74CE-18DA-468A-9500-AB04E4CD7619}" name="資格記録３_x000a_(種目9)" dataDxfId="28"/>
    <tableColumn id="59" xr3:uid="{240F1020-F6C1-4138-8F93-382C65AD2F2B}" name="出場種目10" dataDxfId="27"/>
    <tableColumn id="60" xr3:uid="{2A597549-CC94-4A00-BACF-FE8906269B11}" name="OPN10" dataDxfId="26"/>
    <tableColumn id="74" xr3:uid="{18737E44-DF17-499A-95D0-9F01C6C66224}" name="種目ID_x000a_(種目10)" dataDxfId="25"/>
    <tableColumn id="61" xr3:uid="{21A0A932-0F09-490A-87F9-EE8509D3DE55}" name="資格記録１_x000a_(種目10)" dataDxfId="24"/>
    <tableColumn id="62" xr3:uid="{1B912D6C-57A4-4FCB-9FC9-7A745974A95E}" name="資格記録２_x000a_(種目10)" dataDxfId="23"/>
    <tableColumn id="63" xr3:uid="{F184928E-A45A-4B27-9F20-9D1B18243EFE}" name="資格記録３_x000a_(種目10)" dataDxfId="2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B7663D-F01E-400B-9288-2CC50BCDDEA6}" name="GameRecordList" displayName="GameRecordList" ref="A3:S24" totalsRowShown="0" headerRowDxfId="21" headerRowBorderDxfId="20" tableBorderDxfId="19">
  <autoFilter ref="A3:S24" xr:uid="{23B7663D-F01E-400B-9288-2CC50BCDDEA6}"/>
  <tableColumns count="19">
    <tableColumn id="1" xr3:uid="{D842F409-4D74-4602-9FAD-3CCCB34F5035}" name="種目" dataDxfId="18"/>
    <tableColumn id="2" xr3:uid="{2FF60E58-85CF-4491-AF11-CFA3CC15BC36}" name="表示順" dataDxfId="17"/>
    <tableColumn id="3" xr3:uid="{86E431D9-89D7-484F-BCEC-8904BFD485D5}" name="歴代記録名" dataDxfId="16"/>
    <tableColumn id="4" xr3:uid="{6C4C991A-365D-4FFF-9DE7-CC6003FCD258}" name="略号" dataDxfId="15"/>
    <tableColumn id="5" xr3:uid="{6DFE1E88-4A74-4FA0-BDA6-94A51AAD0BAA}" name="記録" dataDxfId="14"/>
    <tableColumn id="6" xr3:uid="{94D3A117-7FE9-4671-B9FE-DF4F8B94719B}" name="精度" dataDxfId="13"/>
    <tableColumn id="7" xr3:uid="{B7A6DAF4-30D7-40BC-BD4C-B66023D2D1F6}" name="選手名/リレーオーダー" dataDxfId="12"/>
    <tableColumn id="8" xr3:uid="{9A04E50B-30F8-4939-9DCB-3E988BF52F09}" name="所属チーム名" dataDxfId="11"/>
    <tableColumn id="9" xr3:uid="{B39E6C1F-4775-40A4-B78B-BE5A469ABD3F}" name="所属地" dataDxfId="10"/>
    <tableColumn id="10" xr3:uid="{E40BA8CA-47E2-4106-8734-78EF15AAA9A6}" name="国籍" dataDxfId="9"/>
    <tableColumn id="11" xr3:uid="{AC063BAC-03F9-40C0-8EE8-239DFD110E90}" name="年" dataDxfId="8"/>
    <tableColumn id="12" xr3:uid="{A2AB899D-894B-4FC3-BF22-96C516AE231F}" name="月" dataDxfId="7"/>
    <tableColumn id="13" xr3:uid="{83C05B2F-52D6-4344-8B8C-BEC9FC893654}" name="日" dataDxfId="6"/>
    <tableColumn id="14" xr3:uid="{E2AAA57F-7C29-4A80-A513-32633BBF6073}" name="対象区分" dataDxfId="5"/>
    <tableColumn id="15" xr3:uid="{85A60C26-AF95-46D6-87C2-181F7E7F6C96}" name="備考" dataDxfId="4"/>
    <tableColumn id="16" xr3:uid="{23D35D05-8A72-4FCD-A29D-A2370ECD66FA}" name="ID" dataDxfId="3"/>
    <tableColumn id="17" xr3:uid="{760F9F50-11DB-4CAB-A17D-A5E85C20402E}" name="種目ID" dataDxfId="2">
      <calculatedColumnFormula>IF($A4="","",VLOOKUP($A4,OFFSET(INDIRECT("CompetitionEventList"),0,13),2,FALSE
))</calculatedColumnFormula>
    </tableColumn>
    <tableColumn id="19" xr3:uid="{260506ED-555D-4160-9075-41B4655E4C05}" name="桁精度" dataDxfId="1">
      <calculatedColumnFormula>IF(GameRecordList[[#This Row],[精度]]="","",VLOOKUP(GameRecordList[[#This Row],[精度]],OFFSET(Code_Result_Unit,0,1),2,FALSE))</calculatedColumnFormula>
    </tableColumn>
    <tableColumn id="18" xr3:uid="{88C7C62F-D4A4-4D3C-9790-7F8769DA4EF7}" name="列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4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01470-2D98-4D4C-AF1D-F48A4F830E62}">
  <sheetPr codeName="CodeMasterSheet"/>
  <dimension ref="A2:AR78"/>
  <sheetViews>
    <sheetView workbookViewId="0"/>
  </sheetViews>
  <sheetFormatPr defaultRowHeight="13.5"/>
  <cols>
    <col min="1" max="1" width="5.875" customWidth="1"/>
    <col min="3" max="3" width="5.875" customWidth="1"/>
    <col min="4" max="4" width="1.625" customWidth="1"/>
    <col min="5" max="5" width="5.875" customWidth="1"/>
    <col min="7" max="7" width="5.875" customWidth="1"/>
    <col min="8" max="8" width="1.625" customWidth="1"/>
    <col min="9" max="9" width="5.875" customWidth="1"/>
    <col min="11" max="11" width="5.875" customWidth="1"/>
    <col min="12" max="12" width="1.625" customWidth="1"/>
    <col min="13" max="13" width="5.875" customWidth="1"/>
    <col min="15" max="15" width="5.875" customWidth="1"/>
    <col min="16" max="16" width="1.625" customWidth="1"/>
    <col min="17" max="17" width="5.875" customWidth="1"/>
    <col min="19" max="19" width="5.875" customWidth="1"/>
    <col min="20" max="20" width="1.625" customWidth="1"/>
    <col min="21" max="21" width="5.375" customWidth="1"/>
    <col min="22" max="22" width="16.125" bestFit="1" customWidth="1"/>
    <col min="23" max="23" width="9" customWidth="1"/>
    <col min="24" max="24" width="1.625" customWidth="1"/>
    <col min="25" max="25" width="5.5" bestFit="1" customWidth="1"/>
    <col min="30" max="30" width="2" customWidth="1"/>
    <col min="31" max="31" width="5.875" customWidth="1"/>
    <col min="32" max="32" width="25" bestFit="1" customWidth="1"/>
    <col min="33" max="33" width="28.25" bestFit="1" customWidth="1"/>
    <col min="36" max="36" width="5.875" customWidth="1"/>
    <col min="37" max="37" width="1.625" customWidth="1"/>
    <col min="38" max="38" width="5.5" bestFit="1" customWidth="1"/>
    <col min="39" max="39" width="13.875" bestFit="1" customWidth="1"/>
    <col min="40" max="40" width="5.5" customWidth="1"/>
    <col min="41" max="41" width="1.625" customWidth="1"/>
    <col min="42" max="42" width="5.5" bestFit="1" customWidth="1"/>
    <col min="43" max="43" width="13.875" bestFit="1" customWidth="1"/>
    <col min="44" max="44" width="5.5" customWidth="1"/>
    <col min="45" max="45" width="1.625" customWidth="1"/>
  </cols>
  <sheetData>
    <row r="2" spans="1:44">
      <c r="A2" t="s">
        <v>8</v>
      </c>
      <c r="E2" t="s">
        <v>9</v>
      </c>
      <c r="I2" t="s">
        <v>10</v>
      </c>
      <c r="M2" t="s">
        <v>11</v>
      </c>
      <c r="Q2" t="s">
        <v>12</v>
      </c>
      <c r="U2" t="s">
        <v>72</v>
      </c>
      <c r="Y2" t="s">
        <v>356</v>
      </c>
      <c r="AE2" t="s">
        <v>92</v>
      </c>
      <c r="AL2" t="s">
        <v>368</v>
      </c>
      <c r="AP2" t="s">
        <v>369</v>
      </c>
    </row>
    <row r="3" spans="1:44">
      <c r="A3" t="s">
        <v>13</v>
      </c>
      <c r="B3" t="s">
        <v>14</v>
      </c>
      <c r="E3" t="s">
        <v>13</v>
      </c>
      <c r="F3" t="s">
        <v>14</v>
      </c>
      <c r="I3" t="s">
        <v>13</v>
      </c>
      <c r="J3" t="s">
        <v>14</v>
      </c>
      <c r="M3" t="s">
        <v>13</v>
      </c>
      <c r="N3" t="s">
        <v>14</v>
      </c>
      <c r="Q3" t="s">
        <v>13</v>
      </c>
      <c r="R3" t="s">
        <v>14</v>
      </c>
      <c r="U3" t="s">
        <v>13</v>
      </c>
      <c r="V3" t="s">
        <v>14</v>
      </c>
      <c r="Y3" t="s">
        <v>13</v>
      </c>
      <c r="Z3" t="s">
        <v>14</v>
      </c>
      <c r="AA3" t="s">
        <v>327</v>
      </c>
      <c r="AB3" t="s">
        <v>336</v>
      </c>
      <c r="AE3" t="s">
        <v>13</v>
      </c>
      <c r="AF3" t="s">
        <v>14</v>
      </c>
      <c r="AG3" t="s">
        <v>206</v>
      </c>
      <c r="AH3" t="s">
        <v>85</v>
      </c>
      <c r="AI3" t="s">
        <v>89</v>
      </c>
      <c r="AL3" t="s">
        <v>13</v>
      </c>
      <c r="AM3" t="s">
        <v>14</v>
      </c>
      <c r="AP3" t="s">
        <v>13</v>
      </c>
      <c r="AQ3" t="s">
        <v>14</v>
      </c>
    </row>
    <row r="4" spans="1:44">
      <c r="A4" s="14">
        <v>1</v>
      </c>
      <c r="B4" s="14" t="s">
        <v>15</v>
      </c>
      <c r="C4" s="14">
        <f>A4</f>
        <v>1</v>
      </c>
      <c r="E4" s="14">
        <v>0</v>
      </c>
      <c r="F4" s="14" t="s">
        <v>16</v>
      </c>
      <c r="G4" s="14">
        <f>E4</f>
        <v>0</v>
      </c>
      <c r="I4" s="14">
        <v>0</v>
      </c>
      <c r="J4" s="14" t="s">
        <v>16</v>
      </c>
      <c r="K4" s="14">
        <f>I4</f>
        <v>0</v>
      </c>
      <c r="M4" s="14">
        <v>2</v>
      </c>
      <c r="N4" s="14" t="s">
        <v>17</v>
      </c>
      <c r="O4" s="14">
        <f>M4</f>
        <v>2</v>
      </c>
      <c r="Q4" s="14">
        <v>0</v>
      </c>
      <c r="R4" s="14" t="s">
        <v>16</v>
      </c>
      <c r="S4" s="14">
        <f>Q4</f>
        <v>0</v>
      </c>
      <c r="U4" s="14">
        <v>1</v>
      </c>
      <c r="V4" s="14" t="s">
        <v>73</v>
      </c>
      <c r="W4" s="14">
        <f t="shared" ref="W4:W6" si="0">U4</f>
        <v>1</v>
      </c>
      <c r="Y4" s="14" t="s">
        <v>329</v>
      </c>
      <c r="Z4" s="14" t="s">
        <v>155</v>
      </c>
      <c r="AA4" s="14" t="s">
        <v>337</v>
      </c>
      <c r="AB4" s="14" t="s">
        <v>342</v>
      </c>
      <c r="AC4" s="14" t="str">
        <f t="shared" ref="AC4:AC10" si="1">Y4</f>
        <v>TRK</v>
      </c>
      <c r="AE4" s="73" t="s">
        <v>93</v>
      </c>
      <c r="AF4" s="73" t="s">
        <v>94</v>
      </c>
      <c r="AG4" s="73" t="s">
        <v>207</v>
      </c>
      <c r="AH4" s="73" t="s">
        <v>155</v>
      </c>
      <c r="AI4" s="73" t="s">
        <v>19</v>
      </c>
      <c r="AJ4" s="73" t="str">
        <f>IF(COUNTIF($AE$3:AE4,AE4)&gt;1,"",AE4)</f>
        <v>AT01</v>
      </c>
      <c r="AL4" s="14">
        <v>1</v>
      </c>
      <c r="AM4" s="14" t="s">
        <v>363</v>
      </c>
      <c r="AN4" s="14">
        <f t="shared" ref="AN4:AN6" si="2">AL4</f>
        <v>1</v>
      </c>
      <c r="AP4" s="14">
        <v>0</v>
      </c>
      <c r="AQ4" s="14" t="s">
        <v>366</v>
      </c>
      <c r="AR4" s="14">
        <f t="shared" ref="AR4:AR7" si="3">AP4</f>
        <v>0</v>
      </c>
    </row>
    <row r="5" spans="1:44">
      <c r="A5" s="14">
        <v>2</v>
      </c>
      <c r="B5" s="14" t="s">
        <v>18</v>
      </c>
      <c r="C5" s="14">
        <f>A5</f>
        <v>2</v>
      </c>
      <c r="E5" s="14">
        <v>1</v>
      </c>
      <c r="F5" s="14" t="s">
        <v>19</v>
      </c>
      <c r="G5" s="14">
        <f>E5</f>
        <v>1</v>
      </c>
      <c r="I5" s="14">
        <v>1</v>
      </c>
      <c r="J5" s="14" t="s">
        <v>19</v>
      </c>
      <c r="K5" s="14">
        <f>I5</f>
        <v>1</v>
      </c>
      <c r="M5" s="14">
        <v>1</v>
      </c>
      <c r="N5" s="14" t="s">
        <v>20</v>
      </c>
      <c r="O5" s="14">
        <f>M5</f>
        <v>1</v>
      </c>
      <c r="Q5" s="14">
        <v>1</v>
      </c>
      <c r="R5" s="14" t="s">
        <v>19</v>
      </c>
      <c r="S5" s="14">
        <f>Q5</f>
        <v>1</v>
      </c>
      <c r="U5" s="14">
        <v>2</v>
      </c>
      <c r="V5" s="14" t="s">
        <v>74</v>
      </c>
      <c r="W5" s="14">
        <f t="shared" si="0"/>
        <v>2</v>
      </c>
      <c r="Y5" s="14" t="s">
        <v>330</v>
      </c>
      <c r="Z5" s="14" t="s">
        <v>170</v>
      </c>
      <c r="AA5" s="14" t="s">
        <v>338</v>
      </c>
      <c r="AB5" s="14" t="s">
        <v>343</v>
      </c>
      <c r="AC5" s="14" t="str">
        <f t="shared" si="1"/>
        <v>REL</v>
      </c>
      <c r="AE5" s="73" t="s">
        <v>95</v>
      </c>
      <c r="AF5" s="73" t="s">
        <v>96</v>
      </c>
      <c r="AG5" s="73" t="s">
        <v>208</v>
      </c>
      <c r="AH5" s="73" t="s">
        <v>155</v>
      </c>
      <c r="AI5" s="73" t="s">
        <v>19</v>
      </c>
      <c r="AJ5" s="73" t="str">
        <f>IF(COUNTIF($AE$3:AE5,AE5)&gt;1,"",AE5)</f>
        <v>AT02</v>
      </c>
      <c r="AL5" s="14">
        <v>2</v>
      </c>
      <c r="AM5" s="14" t="s">
        <v>364</v>
      </c>
      <c r="AN5" s="14">
        <f t="shared" si="2"/>
        <v>2</v>
      </c>
      <c r="AP5" s="14">
        <v>1</v>
      </c>
      <c r="AQ5" s="14" t="s">
        <v>367</v>
      </c>
      <c r="AR5" s="14">
        <f t="shared" si="3"/>
        <v>1</v>
      </c>
    </row>
    <row r="6" spans="1:44">
      <c r="A6" s="14">
        <v>8</v>
      </c>
      <c r="B6" s="14" t="s">
        <v>21</v>
      </c>
      <c r="C6" s="14">
        <f>A6</f>
        <v>8</v>
      </c>
      <c r="M6" s="14">
        <v>0</v>
      </c>
      <c r="N6" s="14" t="s">
        <v>22</v>
      </c>
      <c r="O6" s="14">
        <f t="shared" ref="O6:O8" si="4">M6</f>
        <v>0</v>
      </c>
      <c r="U6" s="14">
        <v>3</v>
      </c>
      <c r="V6" s="14" t="s">
        <v>75</v>
      </c>
      <c r="W6" s="14">
        <f t="shared" si="0"/>
        <v>3</v>
      </c>
      <c r="Y6" s="14" t="s">
        <v>331</v>
      </c>
      <c r="Z6" s="14" t="s">
        <v>295</v>
      </c>
      <c r="AA6" s="14" t="s">
        <v>337</v>
      </c>
      <c r="AB6" s="14" t="s">
        <v>344</v>
      </c>
      <c r="AC6" s="14" t="str">
        <f t="shared" si="1"/>
        <v>ROD</v>
      </c>
      <c r="AE6" s="73" t="s">
        <v>97</v>
      </c>
      <c r="AF6" s="73" t="s">
        <v>98</v>
      </c>
      <c r="AG6" s="73" t="s">
        <v>209</v>
      </c>
      <c r="AH6" s="73" t="s">
        <v>155</v>
      </c>
      <c r="AI6" s="73" t="s">
        <v>16</v>
      </c>
      <c r="AJ6" s="73" t="str">
        <f>IF(COUNTIF($AE$3:AE6,AE6)&gt;1,"",AE6)</f>
        <v>BT01</v>
      </c>
      <c r="AL6" s="14">
        <v>3</v>
      </c>
      <c r="AM6" s="14" t="s">
        <v>365</v>
      </c>
      <c r="AN6" s="14">
        <f t="shared" si="2"/>
        <v>3</v>
      </c>
      <c r="AP6" s="14">
        <v>2</v>
      </c>
      <c r="AQ6" s="14" t="s">
        <v>364</v>
      </c>
      <c r="AR6" s="14">
        <f t="shared" si="3"/>
        <v>2</v>
      </c>
    </row>
    <row r="7" spans="1:44">
      <c r="M7" s="14">
        <v>12</v>
      </c>
      <c r="N7" s="14" t="s">
        <v>543</v>
      </c>
      <c r="O7" s="14">
        <f t="shared" ref="O7" si="5">M7</f>
        <v>12</v>
      </c>
      <c r="Y7" s="14" t="s">
        <v>332</v>
      </c>
      <c r="Z7" s="14" t="s">
        <v>185</v>
      </c>
      <c r="AA7" s="14" t="s">
        <v>339</v>
      </c>
      <c r="AB7" s="14" t="s">
        <v>345</v>
      </c>
      <c r="AC7" s="14" t="str">
        <f t="shared" si="1"/>
        <v>HIG</v>
      </c>
      <c r="AE7" s="73" t="s">
        <v>99</v>
      </c>
      <c r="AF7" s="73" t="s">
        <v>100</v>
      </c>
      <c r="AG7" s="73" t="s">
        <v>210</v>
      </c>
      <c r="AH7" s="73" t="s">
        <v>155</v>
      </c>
      <c r="AI7" s="73" t="s">
        <v>16</v>
      </c>
      <c r="AJ7" s="73" t="str">
        <f>IF(COUNTIF($AE$3:AE7,AE7)&gt;1,"",AE7)</f>
        <v>CT01</v>
      </c>
      <c r="AP7" s="14">
        <v>3</v>
      </c>
      <c r="AQ7" s="14" t="s">
        <v>365</v>
      </c>
      <c r="AR7" s="14">
        <f t="shared" si="3"/>
        <v>3</v>
      </c>
    </row>
    <row r="8" spans="1:44">
      <c r="M8" s="14">
        <v>20</v>
      </c>
      <c r="N8" s="14" t="s">
        <v>544</v>
      </c>
      <c r="O8" s="14">
        <f t="shared" si="4"/>
        <v>20</v>
      </c>
      <c r="Y8" s="14" t="s">
        <v>333</v>
      </c>
      <c r="Z8" s="14" t="s">
        <v>186</v>
      </c>
      <c r="AA8" s="14" t="s">
        <v>340</v>
      </c>
      <c r="AB8" s="14" t="s">
        <v>346</v>
      </c>
      <c r="AC8" s="14" t="str">
        <f t="shared" si="1"/>
        <v>LNG</v>
      </c>
      <c r="AE8" s="73" t="s">
        <v>101</v>
      </c>
      <c r="AF8" s="73" t="s">
        <v>102</v>
      </c>
      <c r="AG8" s="73" t="s">
        <v>211</v>
      </c>
      <c r="AH8" s="73" t="s">
        <v>155</v>
      </c>
      <c r="AI8" s="73" t="s">
        <v>16</v>
      </c>
      <c r="AJ8" s="73" t="str">
        <f>IF(COUNTIF($AE$3:AE8,AE8)&gt;1,"",AE8)</f>
        <v>CT02</v>
      </c>
    </row>
    <row r="9" spans="1:44">
      <c r="Y9" s="14" t="s">
        <v>334</v>
      </c>
      <c r="Z9" s="14" t="s">
        <v>205</v>
      </c>
      <c r="AA9" s="14" t="s">
        <v>340</v>
      </c>
      <c r="AB9" s="14" t="s">
        <v>346</v>
      </c>
      <c r="AC9" s="14" t="str">
        <f t="shared" si="1"/>
        <v>THR</v>
      </c>
      <c r="AE9" s="73" t="s">
        <v>103</v>
      </c>
      <c r="AF9" s="73" t="s">
        <v>104</v>
      </c>
      <c r="AG9" s="73" t="s">
        <v>212</v>
      </c>
      <c r="AH9" s="73" t="s">
        <v>155</v>
      </c>
      <c r="AI9" s="73" t="s">
        <v>16</v>
      </c>
      <c r="AJ9" s="73" t="str">
        <f>IF(COUNTIF($AE$3:AE9,AE9)&gt;1,"",AE9)</f>
        <v>DT01</v>
      </c>
    </row>
    <row r="10" spans="1:44">
      <c r="Y10" s="14" t="s">
        <v>335</v>
      </c>
      <c r="Z10" s="14" t="s">
        <v>328</v>
      </c>
      <c r="AA10" s="14" t="s">
        <v>341</v>
      </c>
      <c r="AB10" s="14" t="s">
        <v>347</v>
      </c>
      <c r="AC10" s="14" t="str">
        <f t="shared" si="1"/>
        <v>DEC</v>
      </c>
      <c r="AE10" s="73" t="s">
        <v>105</v>
      </c>
      <c r="AF10" s="73" t="s">
        <v>106</v>
      </c>
      <c r="AG10" s="73" t="s">
        <v>213</v>
      </c>
      <c r="AH10" s="73" t="s">
        <v>155</v>
      </c>
      <c r="AI10" s="73" t="s">
        <v>16</v>
      </c>
      <c r="AJ10" s="73" t="str">
        <f>IF(COUNTIF($AE$3:AE10,AE10)&gt;1,"",AE10)</f>
        <v>DT02</v>
      </c>
    </row>
    <row r="11" spans="1:44">
      <c r="AE11" s="73" t="s">
        <v>107</v>
      </c>
      <c r="AF11" s="73" t="s">
        <v>108</v>
      </c>
      <c r="AG11" s="73" t="s">
        <v>214</v>
      </c>
      <c r="AH11" s="73" t="s">
        <v>155</v>
      </c>
      <c r="AI11" s="73" t="s">
        <v>19</v>
      </c>
      <c r="AJ11" s="73" t="str">
        <f>IF(COUNTIF($AE$3:AE11,AE11)&gt;1,"",AE11)</f>
        <v>AH01</v>
      </c>
    </row>
    <row r="12" spans="1:44">
      <c r="AE12" s="73" t="s">
        <v>109</v>
      </c>
      <c r="AF12" s="73" t="s">
        <v>91</v>
      </c>
      <c r="AG12" s="73" t="s">
        <v>215</v>
      </c>
      <c r="AH12" s="73" t="s">
        <v>155</v>
      </c>
      <c r="AI12" s="73" t="s">
        <v>19</v>
      </c>
      <c r="AJ12" s="73" t="str">
        <f>IF(COUNTIF($AE$3:AE12,AE12)&gt;1,"",AE12)</f>
        <v>AH02</v>
      </c>
    </row>
    <row r="13" spans="1:44">
      <c r="AE13" s="73" t="s">
        <v>110</v>
      </c>
      <c r="AF13" s="73" t="s">
        <v>111</v>
      </c>
      <c r="AG13" s="73" t="s">
        <v>216</v>
      </c>
      <c r="AH13" s="73" t="s">
        <v>155</v>
      </c>
      <c r="AI13" s="73" t="s">
        <v>16</v>
      </c>
      <c r="AJ13" s="73" t="str">
        <f>IF(COUNTIF($AE$3:AE13,AE13)&gt;1,"",AE13)</f>
        <v>BH01</v>
      </c>
    </row>
    <row r="14" spans="1:44">
      <c r="AE14" s="73" t="s">
        <v>112</v>
      </c>
      <c r="AF14" s="73" t="s">
        <v>113</v>
      </c>
      <c r="AG14" s="73" t="s">
        <v>217</v>
      </c>
      <c r="AH14" s="73" t="s">
        <v>155</v>
      </c>
      <c r="AI14" s="73" t="s">
        <v>16</v>
      </c>
      <c r="AJ14" s="73" t="str">
        <f>IF(COUNTIF($AE$3:AE14,AE14)&gt;1,"",AE14)</f>
        <v>DH01</v>
      </c>
    </row>
    <row r="15" spans="1:44">
      <c r="AE15" s="73" t="s">
        <v>296</v>
      </c>
      <c r="AF15" s="73" t="s">
        <v>300</v>
      </c>
      <c r="AG15" s="73" t="s">
        <v>302</v>
      </c>
      <c r="AH15" s="73" t="s">
        <v>295</v>
      </c>
      <c r="AI15" s="73" t="s">
        <v>16</v>
      </c>
      <c r="AJ15" s="73" t="str">
        <f>IF(COUNTIF($AE$3:AE15,AE15)&gt;1,"",AE15)</f>
        <v>ER01</v>
      </c>
    </row>
    <row r="16" spans="1:44">
      <c r="AE16" s="73" t="s">
        <v>305</v>
      </c>
      <c r="AF16" s="73" t="s">
        <v>311</v>
      </c>
      <c r="AG16" s="73" t="s">
        <v>315</v>
      </c>
      <c r="AH16" s="73" t="s">
        <v>295</v>
      </c>
      <c r="AI16" s="73" t="s">
        <v>16</v>
      </c>
      <c r="AJ16" s="73" t="str">
        <f>IF(COUNTIF($AE$3:AE16,AE16)&gt;1,"",AE16)</f>
        <v>EW01</v>
      </c>
    </row>
    <row r="17" spans="31:36">
      <c r="AE17" s="73" t="s">
        <v>306</v>
      </c>
      <c r="AF17" s="73" t="s">
        <v>312</v>
      </c>
      <c r="AG17" s="73" t="s">
        <v>316</v>
      </c>
      <c r="AH17" s="73" t="s">
        <v>295</v>
      </c>
      <c r="AI17" s="73" t="s">
        <v>16</v>
      </c>
      <c r="AJ17" s="73" t="str">
        <f>IF(COUNTIF($AE$3:AE17,AE17)&gt;1,"",AE17)</f>
        <v>EW02</v>
      </c>
    </row>
    <row r="18" spans="31:36">
      <c r="AE18" s="73" t="s">
        <v>156</v>
      </c>
      <c r="AF18" s="73" t="s">
        <v>162</v>
      </c>
      <c r="AG18" s="73" t="s">
        <v>238</v>
      </c>
      <c r="AH18" s="73" t="s">
        <v>170</v>
      </c>
      <c r="AI18" s="73" t="s">
        <v>16</v>
      </c>
      <c r="AJ18" s="73" t="str">
        <f>IF(COUNTIF($AE$3:AE18,AE18)&gt;1,"",AE18)</f>
        <v>RL01</v>
      </c>
    </row>
    <row r="19" spans="31:36">
      <c r="AE19" s="73" t="s">
        <v>157</v>
      </c>
      <c r="AF19" s="73" t="s">
        <v>163</v>
      </c>
      <c r="AG19" s="73" t="s">
        <v>240</v>
      </c>
      <c r="AH19" s="73" t="s">
        <v>170</v>
      </c>
      <c r="AI19" s="73" t="s">
        <v>16</v>
      </c>
      <c r="AJ19" s="73" t="str">
        <f>IF(COUNTIF($AE$3:AE19,AE19)&gt;1,"",AE19)</f>
        <v>RL02</v>
      </c>
    </row>
    <row r="20" spans="31:36">
      <c r="AE20" s="73" t="s">
        <v>171</v>
      </c>
      <c r="AF20" s="73" t="s">
        <v>177</v>
      </c>
      <c r="AG20" s="73" t="s">
        <v>245</v>
      </c>
      <c r="AH20" s="73" t="s">
        <v>185</v>
      </c>
      <c r="AI20" s="73" t="s">
        <v>16</v>
      </c>
      <c r="AJ20" s="73" t="str">
        <f>IF(COUNTIF($AE$3:AE20,AE20)&gt;1,"",AE20)</f>
        <v>JH01</v>
      </c>
    </row>
    <row r="21" spans="31:36">
      <c r="AE21" s="73" t="s">
        <v>172</v>
      </c>
      <c r="AF21" s="73" t="s">
        <v>178</v>
      </c>
      <c r="AG21" s="73" t="s">
        <v>246</v>
      </c>
      <c r="AH21" s="73" t="s">
        <v>185</v>
      </c>
      <c r="AI21" s="73" t="s">
        <v>16</v>
      </c>
      <c r="AJ21" s="73" t="str">
        <f>IF(COUNTIF($AE$3:AE21,AE21)&gt;1,"",AE21)</f>
        <v>JH02</v>
      </c>
    </row>
    <row r="22" spans="31:36">
      <c r="AE22" s="73" t="s">
        <v>173</v>
      </c>
      <c r="AF22" s="73" t="s">
        <v>179</v>
      </c>
      <c r="AG22" s="73" t="s">
        <v>247</v>
      </c>
      <c r="AH22" s="73" t="s">
        <v>186</v>
      </c>
      <c r="AI22" s="73" t="s">
        <v>19</v>
      </c>
      <c r="AJ22" s="73" t="str">
        <f>IF(COUNTIF($AE$3:AE22,AE22)&gt;1,"",AE22)</f>
        <v>JL01</v>
      </c>
    </row>
    <row r="23" spans="31:36">
      <c r="AE23" s="73" t="s">
        <v>174</v>
      </c>
      <c r="AF23" s="73" t="s">
        <v>180</v>
      </c>
      <c r="AG23" s="73" t="s">
        <v>248</v>
      </c>
      <c r="AH23" s="73" t="s">
        <v>186</v>
      </c>
      <c r="AI23" s="73" t="s">
        <v>19</v>
      </c>
      <c r="AJ23" s="73" t="str">
        <f>IF(COUNTIF($AE$3:AE23,AE23)&gt;1,"",AE23)</f>
        <v>JL02</v>
      </c>
    </row>
    <row r="24" spans="31:36">
      <c r="AE24" s="73" t="s">
        <v>187</v>
      </c>
      <c r="AF24" s="73" t="s">
        <v>196</v>
      </c>
      <c r="AG24" s="73" t="s">
        <v>252</v>
      </c>
      <c r="AH24" s="73" t="s">
        <v>205</v>
      </c>
      <c r="AI24" s="73" t="s">
        <v>16</v>
      </c>
      <c r="AJ24" s="73" t="str">
        <f>IF(COUNTIF($AE$3:AE24,AE24)&gt;1,"",AE24)</f>
        <v>TH01</v>
      </c>
    </row>
    <row r="25" spans="31:36">
      <c r="AE25" s="73" t="s">
        <v>188</v>
      </c>
      <c r="AF25" s="73" t="s">
        <v>197</v>
      </c>
      <c r="AG25" s="73" t="s">
        <v>253</v>
      </c>
      <c r="AH25" s="73" t="s">
        <v>205</v>
      </c>
      <c r="AI25" s="73" t="s">
        <v>16</v>
      </c>
      <c r="AJ25" s="73" t="str">
        <f>IF(COUNTIF($AE$3:AE25,AE25)&gt;1,"",AE25)</f>
        <v>TH02</v>
      </c>
    </row>
    <row r="26" spans="31:36">
      <c r="AE26" s="73" t="s">
        <v>189</v>
      </c>
      <c r="AF26" s="73" t="s">
        <v>198</v>
      </c>
      <c r="AG26" s="73" t="s">
        <v>254</v>
      </c>
      <c r="AH26" s="73" t="s">
        <v>205</v>
      </c>
      <c r="AI26" s="73" t="s">
        <v>16</v>
      </c>
      <c r="AJ26" s="73" t="str">
        <f>IF(COUNTIF($AE$3:AE26,AE26)&gt;1,"",AE26)</f>
        <v>TH03</v>
      </c>
    </row>
    <row r="27" spans="31:36">
      <c r="AE27" s="73" t="s">
        <v>190</v>
      </c>
      <c r="AF27" s="73" t="s">
        <v>199</v>
      </c>
      <c r="AG27" s="73" t="s">
        <v>255</v>
      </c>
      <c r="AH27" s="73" t="s">
        <v>205</v>
      </c>
      <c r="AI27" s="73" t="s">
        <v>16</v>
      </c>
      <c r="AJ27" s="73" t="str">
        <f>IF(COUNTIF($AE$3:AE27,AE27)&gt;1,"",AE27)</f>
        <v>TH04</v>
      </c>
    </row>
    <row r="28" spans="31:36">
      <c r="AE28" s="73" t="s">
        <v>268</v>
      </c>
      <c r="AF28" s="73" t="s">
        <v>261</v>
      </c>
      <c r="AG28" s="73" t="s">
        <v>283</v>
      </c>
      <c r="AH28" s="73" t="s">
        <v>328</v>
      </c>
      <c r="AI28" s="73" t="s">
        <v>16</v>
      </c>
      <c r="AJ28" s="73" t="str">
        <f>IF(COUNTIF($AE$3:AE28,AE28)&gt;1,"",AE28)</f>
        <v>CE01</v>
      </c>
    </row>
    <row r="29" spans="31:36">
      <c r="AE29" s="73" t="s">
        <v>269</v>
      </c>
      <c r="AF29" s="73" t="s">
        <v>263</v>
      </c>
      <c r="AG29" s="73" t="s">
        <v>284</v>
      </c>
      <c r="AH29" s="73" t="s">
        <v>328</v>
      </c>
      <c r="AI29" s="73" t="s">
        <v>16</v>
      </c>
      <c r="AJ29" s="73" t="str">
        <f>IF(COUNTIF($AE$3:AE29,AE29)&gt;1,"",AE29)</f>
        <v>CE02</v>
      </c>
    </row>
    <row r="30" spans="31:36">
      <c r="AE30" s="73" t="s">
        <v>134</v>
      </c>
      <c r="AF30" s="73" t="s">
        <v>135</v>
      </c>
      <c r="AG30" s="73" t="s">
        <v>228</v>
      </c>
      <c r="AH30" s="73" t="s">
        <v>155</v>
      </c>
      <c r="AI30" s="73" t="s">
        <v>16</v>
      </c>
      <c r="AJ30" s="73" t="str">
        <f>IF(COUNTIF($AE$3:AE30,AE30)&gt;1,"",AE30)</f>
        <v>CT06</v>
      </c>
    </row>
    <row r="31" spans="31:36">
      <c r="AE31" s="73" t="s">
        <v>114</v>
      </c>
      <c r="AF31" s="73" t="s">
        <v>115</v>
      </c>
      <c r="AG31" s="73" t="s">
        <v>218</v>
      </c>
      <c r="AH31" s="73" t="s">
        <v>155</v>
      </c>
      <c r="AI31" s="73" t="s">
        <v>16</v>
      </c>
      <c r="AJ31" s="73" t="str">
        <f>IF(COUNTIF($AE$3:AE31,AE31)&gt;1,"",AE31)</f>
        <v>DW01</v>
      </c>
    </row>
    <row r="32" spans="31:36">
      <c r="AE32" s="73" t="s">
        <v>116</v>
      </c>
      <c r="AF32" s="73" t="s">
        <v>117</v>
      </c>
      <c r="AG32" s="73" t="s">
        <v>219</v>
      </c>
      <c r="AH32" s="73" t="s">
        <v>155</v>
      </c>
      <c r="AI32" s="73" t="s">
        <v>16</v>
      </c>
      <c r="AJ32" s="73" t="str">
        <f>IF(COUNTIF($AE$3:AE32,AE32)&gt;1,"",AE32)</f>
        <v>DW02</v>
      </c>
    </row>
    <row r="33" spans="31:36">
      <c r="AE33" s="73" t="s">
        <v>193</v>
      </c>
      <c r="AF33" s="73" t="s">
        <v>202</v>
      </c>
      <c r="AG33" s="73" t="s">
        <v>258</v>
      </c>
      <c r="AH33" s="73" t="s">
        <v>205</v>
      </c>
      <c r="AI33" s="73" t="s">
        <v>16</v>
      </c>
      <c r="AJ33" s="73" t="str">
        <f>IF(COUNTIF($AE$3:AE33,AE33)&gt;1,"",AE33)</f>
        <v>TH07</v>
      </c>
    </row>
    <row r="34" spans="31:36">
      <c r="AE34" s="73" t="s">
        <v>274</v>
      </c>
      <c r="AF34" s="73" t="s">
        <v>267</v>
      </c>
      <c r="AG34" s="73" t="s">
        <v>289</v>
      </c>
      <c r="AH34" s="73" t="s">
        <v>328</v>
      </c>
      <c r="AI34" s="73" t="s">
        <v>16</v>
      </c>
      <c r="AJ34" s="73" t="str">
        <f>IF(COUNTIF($AE$3:AE34,AE34)&gt;1,"",AE34)</f>
        <v>CE07</v>
      </c>
    </row>
    <row r="35" spans="31:36">
      <c r="AE35" s="73" t="s">
        <v>276</v>
      </c>
      <c r="AF35" s="73" t="s">
        <v>279</v>
      </c>
      <c r="AG35" s="73" t="s">
        <v>291</v>
      </c>
      <c r="AH35" s="73" t="s">
        <v>328</v>
      </c>
      <c r="AI35" s="73" t="s">
        <v>16</v>
      </c>
      <c r="AJ35" s="73" t="str">
        <f>IF(COUNTIF($AE$3:AE35,AE35)&gt;1,"",AE35)</f>
        <v>CE09</v>
      </c>
    </row>
    <row r="36" spans="31:36">
      <c r="AE36" s="73" t="s">
        <v>118</v>
      </c>
      <c r="AF36" s="73" t="s">
        <v>119</v>
      </c>
      <c r="AG36" s="73" t="s">
        <v>220</v>
      </c>
      <c r="AH36" s="73" t="s">
        <v>155</v>
      </c>
      <c r="AI36" s="73" t="s">
        <v>19</v>
      </c>
      <c r="AJ36" s="73" t="str">
        <f>IF(COUNTIF($AE$3:AE36,AE36)&gt;1,"",AE36)</f>
        <v>AT03</v>
      </c>
    </row>
    <row r="37" spans="31:36">
      <c r="AE37" s="73" t="s">
        <v>120</v>
      </c>
      <c r="AF37" s="73" t="s">
        <v>121</v>
      </c>
      <c r="AG37" s="73" t="s">
        <v>221</v>
      </c>
      <c r="AH37" s="73" t="s">
        <v>155</v>
      </c>
      <c r="AI37" s="73" t="s">
        <v>19</v>
      </c>
      <c r="AJ37" s="73" t="str">
        <f>IF(COUNTIF($AE$3:AE37,AE37)&gt;1,"",AE37)</f>
        <v>AT04</v>
      </c>
    </row>
    <row r="38" spans="31:36">
      <c r="AE38" s="73" t="s">
        <v>122</v>
      </c>
      <c r="AF38" s="73" t="s">
        <v>123</v>
      </c>
      <c r="AG38" s="73" t="s">
        <v>222</v>
      </c>
      <c r="AH38" s="73" t="s">
        <v>155</v>
      </c>
      <c r="AI38" s="73" t="s">
        <v>19</v>
      </c>
      <c r="AJ38" s="73" t="str">
        <f>IF(COUNTIF($AE$3:AE38,AE38)&gt;1,"",AE38)</f>
        <v>AT05</v>
      </c>
    </row>
    <row r="39" spans="31:36">
      <c r="AE39" s="73" t="s">
        <v>124</v>
      </c>
      <c r="AF39" s="73" t="s">
        <v>125</v>
      </c>
      <c r="AG39" s="73" t="s">
        <v>223</v>
      </c>
      <c r="AH39" s="73" t="s">
        <v>155</v>
      </c>
      <c r="AI39" s="73" t="s">
        <v>19</v>
      </c>
      <c r="AJ39" s="73" t="str">
        <f>IF(COUNTIF($AE$3:AE39,AE39)&gt;1,"",AE39)</f>
        <v>AT06</v>
      </c>
    </row>
    <row r="40" spans="31:36">
      <c r="AE40" s="73" t="s">
        <v>126</v>
      </c>
      <c r="AF40" s="73" t="s">
        <v>127</v>
      </c>
      <c r="AG40" s="73" t="s">
        <v>224</v>
      </c>
      <c r="AH40" s="73" t="s">
        <v>155</v>
      </c>
      <c r="AI40" s="73" t="s">
        <v>16</v>
      </c>
      <c r="AJ40" s="73" t="str">
        <f>IF(COUNTIF($AE$3:AE40,AE40)&gt;1,"",AE40)</f>
        <v>BT02</v>
      </c>
    </row>
    <row r="41" spans="31:36">
      <c r="AE41" s="73" t="s">
        <v>128</v>
      </c>
      <c r="AF41" s="73" t="s">
        <v>129</v>
      </c>
      <c r="AG41" s="73" t="s">
        <v>225</v>
      </c>
      <c r="AH41" s="73" t="s">
        <v>155</v>
      </c>
      <c r="AI41" s="73" t="s">
        <v>16</v>
      </c>
      <c r="AJ41" s="73" t="str">
        <f>IF(COUNTIF($AE$3:AE41,AE41)&gt;1,"",AE41)</f>
        <v>CT03</v>
      </c>
    </row>
    <row r="42" spans="31:36">
      <c r="AE42" s="73" t="s">
        <v>130</v>
      </c>
      <c r="AF42" s="73" t="s">
        <v>131</v>
      </c>
      <c r="AG42" s="73" t="s">
        <v>226</v>
      </c>
      <c r="AH42" s="73" t="s">
        <v>155</v>
      </c>
      <c r="AI42" s="73" t="s">
        <v>16</v>
      </c>
      <c r="AJ42" s="73" t="str">
        <f>IF(COUNTIF($AE$3:AE42,AE42)&gt;1,"",AE42)</f>
        <v>CT04</v>
      </c>
    </row>
    <row r="43" spans="31:36">
      <c r="AE43" s="73" t="s">
        <v>132</v>
      </c>
      <c r="AF43" s="73" t="s">
        <v>133</v>
      </c>
      <c r="AG43" s="73" t="s">
        <v>227</v>
      </c>
      <c r="AH43" s="73" t="s">
        <v>155</v>
      </c>
      <c r="AI43" s="73" t="s">
        <v>16</v>
      </c>
      <c r="AJ43" s="73" t="str">
        <f>IF(COUNTIF($AE$3:AE43,AE43)&gt;1,"",AE43)</f>
        <v>CT05</v>
      </c>
    </row>
    <row r="44" spans="31:36">
      <c r="AE44" s="73" t="s">
        <v>136</v>
      </c>
      <c r="AF44" s="73" t="s">
        <v>137</v>
      </c>
      <c r="AG44" s="73" t="s">
        <v>229</v>
      </c>
      <c r="AH44" s="73" t="s">
        <v>155</v>
      </c>
      <c r="AI44" s="73" t="s">
        <v>16</v>
      </c>
      <c r="AJ44" s="73" t="str">
        <f>IF(COUNTIF($AE$3:AE44,AE44)&gt;1,"",AE44)</f>
        <v>DT03</v>
      </c>
    </row>
    <row r="45" spans="31:36">
      <c r="AE45" s="73" t="s">
        <v>138</v>
      </c>
      <c r="AF45" s="73" t="s">
        <v>139</v>
      </c>
      <c r="AG45" s="73" t="s">
        <v>230</v>
      </c>
      <c r="AH45" s="73" t="s">
        <v>155</v>
      </c>
      <c r="AI45" s="73" t="s">
        <v>19</v>
      </c>
      <c r="AJ45" s="73" t="str">
        <f>IF(COUNTIF($AE$3:AE45,AE45)&gt;1,"",AE45)</f>
        <v>AH03</v>
      </c>
    </row>
    <row r="46" spans="31:36">
      <c r="AE46" s="73" t="s">
        <v>140</v>
      </c>
      <c r="AF46" s="73" t="s">
        <v>141</v>
      </c>
      <c r="AG46" s="73" t="s">
        <v>231</v>
      </c>
      <c r="AH46" s="73" t="s">
        <v>155</v>
      </c>
      <c r="AI46" s="73" t="s">
        <v>19</v>
      </c>
      <c r="AJ46" s="73" t="str">
        <f>IF(COUNTIF($AE$3:AE46,AE46)&gt;1,"",AE46)</f>
        <v>AH04</v>
      </c>
    </row>
    <row r="47" spans="31:36">
      <c r="AE47" s="73" t="s">
        <v>142</v>
      </c>
      <c r="AF47" s="73" t="s">
        <v>143</v>
      </c>
      <c r="AG47" s="73" t="s">
        <v>232</v>
      </c>
      <c r="AH47" s="73" t="s">
        <v>155</v>
      </c>
      <c r="AI47" s="73" t="s">
        <v>19</v>
      </c>
      <c r="AJ47" s="73" t="str">
        <f>IF(COUNTIF($AE$3:AE47,AE47)&gt;1,"",AE47)</f>
        <v>AH05</v>
      </c>
    </row>
    <row r="48" spans="31:36">
      <c r="AE48" s="73" t="s">
        <v>144</v>
      </c>
      <c r="AF48" s="73" t="s">
        <v>145</v>
      </c>
      <c r="AG48" s="73" t="s">
        <v>233</v>
      </c>
      <c r="AH48" s="73" t="s">
        <v>155</v>
      </c>
      <c r="AI48" s="73" t="s">
        <v>16</v>
      </c>
      <c r="AJ48" s="73" t="str">
        <f>IF(COUNTIF($AE$3:AE48,AE48)&gt;1,"",AE48)</f>
        <v>BH02</v>
      </c>
    </row>
    <row r="49" spans="31:36">
      <c r="AE49" s="73" t="s">
        <v>146</v>
      </c>
      <c r="AF49" s="73" t="s">
        <v>147</v>
      </c>
      <c r="AG49" s="73" t="s">
        <v>234</v>
      </c>
      <c r="AH49" s="73" t="s">
        <v>155</v>
      </c>
      <c r="AI49" s="73" t="s">
        <v>16</v>
      </c>
      <c r="AJ49" s="73" t="str">
        <f>IF(COUNTIF($AE$3:AE49,AE49)&gt;1,"",AE49)</f>
        <v>DH02</v>
      </c>
    </row>
    <row r="50" spans="31:36">
      <c r="AE50" s="73" t="s">
        <v>148</v>
      </c>
      <c r="AF50" s="73" t="s">
        <v>149</v>
      </c>
      <c r="AG50" s="73" t="s">
        <v>235</v>
      </c>
      <c r="AH50" s="73" t="s">
        <v>155</v>
      </c>
      <c r="AI50" s="73" t="s">
        <v>16</v>
      </c>
      <c r="AJ50" s="73" t="str">
        <f>IF(COUNTIF($AE$3:AE50,AE50)&gt;1,"",AE50)</f>
        <v>DH03</v>
      </c>
    </row>
    <row r="51" spans="31:36">
      <c r="AE51" s="73" t="s">
        <v>150</v>
      </c>
      <c r="AF51" s="73" t="s">
        <v>151</v>
      </c>
      <c r="AG51" s="73" t="s">
        <v>236</v>
      </c>
      <c r="AH51" s="73" t="s">
        <v>155</v>
      </c>
      <c r="AI51" s="73" t="s">
        <v>16</v>
      </c>
      <c r="AJ51" s="73" t="str">
        <f>IF(COUNTIF($AE$3:AE51,AE51)&gt;1,"",AE51)</f>
        <v>DW03</v>
      </c>
    </row>
    <row r="52" spans="31:36">
      <c r="AE52" s="73" t="s">
        <v>152</v>
      </c>
      <c r="AF52" s="73" t="s">
        <v>153</v>
      </c>
      <c r="AG52" s="73" t="s">
        <v>237</v>
      </c>
      <c r="AH52" s="73" t="s">
        <v>155</v>
      </c>
      <c r="AI52" s="73" t="s">
        <v>16</v>
      </c>
      <c r="AJ52" s="73" t="str">
        <f>IF(COUNTIF($AE$3:AE52,AE52)&gt;1,"",AE52)</f>
        <v>DW04</v>
      </c>
    </row>
    <row r="53" spans="31:36">
      <c r="AE53" s="73" t="s">
        <v>158</v>
      </c>
      <c r="AF53" s="73" t="s">
        <v>164</v>
      </c>
      <c r="AG53" s="73" t="s">
        <v>239</v>
      </c>
      <c r="AH53" s="73" t="s">
        <v>170</v>
      </c>
      <c r="AI53" s="73" t="s">
        <v>16</v>
      </c>
      <c r="AJ53" s="73" t="str">
        <f>IF(COUNTIF($AE$3:AE53,AE53)&gt;1,"",AE53)</f>
        <v>RL03</v>
      </c>
    </row>
    <row r="54" spans="31:36">
      <c r="AE54" s="73" t="s">
        <v>159</v>
      </c>
      <c r="AF54" s="73" t="s">
        <v>165</v>
      </c>
      <c r="AG54" s="73" t="s">
        <v>241</v>
      </c>
      <c r="AH54" s="73" t="s">
        <v>170</v>
      </c>
      <c r="AI54" s="73" t="s">
        <v>16</v>
      </c>
      <c r="AJ54" s="73" t="str">
        <f>IF(COUNTIF($AE$3:AE54,AE54)&gt;1,"",AE54)</f>
        <v>RL04</v>
      </c>
    </row>
    <row r="55" spans="31:36">
      <c r="AE55" s="73" t="s">
        <v>160</v>
      </c>
      <c r="AF55" s="73" t="s">
        <v>166</v>
      </c>
      <c r="AG55" s="73" t="s">
        <v>242</v>
      </c>
      <c r="AH55" s="73" t="s">
        <v>170</v>
      </c>
      <c r="AI55" s="73" t="s">
        <v>16</v>
      </c>
      <c r="AJ55" s="73" t="str">
        <f>IF(COUNTIF($AE$3:AE55,AE55)&gt;1,"",AE55)</f>
        <v>RL05</v>
      </c>
    </row>
    <row r="56" spans="31:36">
      <c r="AE56" s="73" t="s">
        <v>161</v>
      </c>
      <c r="AF56" s="73" t="s">
        <v>167</v>
      </c>
      <c r="AG56" s="73" t="s">
        <v>243</v>
      </c>
      <c r="AH56" s="73" t="s">
        <v>170</v>
      </c>
      <c r="AI56" s="73" t="s">
        <v>16</v>
      </c>
      <c r="AJ56" s="73" t="str">
        <f>IF(COUNTIF($AE$3:AE56,AE56)&gt;1,"",AE56)</f>
        <v>RL06</v>
      </c>
    </row>
    <row r="57" spans="31:36">
      <c r="AE57" s="73" t="s">
        <v>168</v>
      </c>
      <c r="AF57" s="73" t="s">
        <v>169</v>
      </c>
      <c r="AG57" s="73" t="s">
        <v>244</v>
      </c>
      <c r="AH57" s="73" t="s">
        <v>170</v>
      </c>
      <c r="AI57" s="73" t="s">
        <v>16</v>
      </c>
      <c r="AJ57" s="73" t="str">
        <f>IF(COUNTIF($AE$3:AE57,AE57)&gt;1,"",AE57)</f>
        <v>RL07</v>
      </c>
    </row>
    <row r="58" spans="31:36">
      <c r="AE58" s="73" t="s">
        <v>183</v>
      </c>
      <c r="AF58" s="73" t="s">
        <v>184</v>
      </c>
      <c r="AG58" s="73" t="s">
        <v>249</v>
      </c>
      <c r="AH58" s="73" t="s">
        <v>185</v>
      </c>
      <c r="AI58" s="73" t="s">
        <v>16</v>
      </c>
      <c r="AJ58" s="73" t="str">
        <f>IF(COUNTIF($AE$3:AE58,AE58)&gt;1,"",AE58)</f>
        <v>JH03</v>
      </c>
    </row>
    <row r="59" spans="31:36">
      <c r="AE59" s="73" t="s">
        <v>175</v>
      </c>
      <c r="AF59" s="73" t="s">
        <v>181</v>
      </c>
      <c r="AG59" s="73" t="s">
        <v>250</v>
      </c>
      <c r="AH59" s="73" t="s">
        <v>186</v>
      </c>
      <c r="AI59" s="73" t="s">
        <v>16</v>
      </c>
      <c r="AJ59" s="73" t="str">
        <f>IF(COUNTIF($AE$3:AE59,AE59)&gt;1,"",AE59)</f>
        <v>JL03</v>
      </c>
    </row>
    <row r="60" spans="31:36">
      <c r="AE60" s="73" t="s">
        <v>176</v>
      </c>
      <c r="AF60" s="73" t="s">
        <v>182</v>
      </c>
      <c r="AG60" s="73" t="s">
        <v>251</v>
      </c>
      <c r="AH60" s="73" t="s">
        <v>186</v>
      </c>
      <c r="AI60" s="73" t="s">
        <v>16</v>
      </c>
      <c r="AJ60" s="73" t="str">
        <f>IF(COUNTIF($AE$3:AE60,AE60)&gt;1,"",AE60)</f>
        <v>JL04</v>
      </c>
    </row>
    <row r="61" spans="31:36">
      <c r="AE61" s="73" t="s">
        <v>191</v>
      </c>
      <c r="AF61" s="73" t="s">
        <v>200</v>
      </c>
      <c r="AG61" s="73" t="s">
        <v>256</v>
      </c>
      <c r="AH61" s="73" t="s">
        <v>205</v>
      </c>
      <c r="AI61" s="73" t="s">
        <v>16</v>
      </c>
      <c r="AJ61" s="73" t="str">
        <f>IF(COUNTIF($AE$3:AE61,AE61)&gt;1,"",AE61)</f>
        <v>TH05</v>
      </c>
    </row>
    <row r="62" spans="31:36">
      <c r="AE62" s="73" t="s">
        <v>192</v>
      </c>
      <c r="AF62" s="73" t="s">
        <v>201</v>
      </c>
      <c r="AG62" s="73" t="s">
        <v>257</v>
      </c>
      <c r="AH62" s="73" t="s">
        <v>205</v>
      </c>
      <c r="AI62" s="73" t="s">
        <v>16</v>
      </c>
      <c r="AJ62" s="73" t="str">
        <f>IF(COUNTIF($AE$3:AE62,AE62)&gt;1,"",AE62)</f>
        <v>TH06</v>
      </c>
    </row>
    <row r="63" spans="31:36">
      <c r="AE63" s="73" t="s">
        <v>194</v>
      </c>
      <c r="AF63" s="73" t="s">
        <v>203</v>
      </c>
      <c r="AG63" s="73" t="s">
        <v>259</v>
      </c>
      <c r="AH63" s="73" t="s">
        <v>205</v>
      </c>
      <c r="AI63" s="73" t="s">
        <v>16</v>
      </c>
      <c r="AJ63" s="73" t="str">
        <f>IF(COUNTIF($AE$3:AE63,AE63)&gt;1,"",AE63)</f>
        <v>TH08</v>
      </c>
    </row>
    <row r="64" spans="31:36">
      <c r="AE64" s="73" t="s">
        <v>195</v>
      </c>
      <c r="AF64" s="73" t="s">
        <v>204</v>
      </c>
      <c r="AG64" s="73" t="s">
        <v>260</v>
      </c>
      <c r="AH64" s="73" t="s">
        <v>205</v>
      </c>
      <c r="AI64" s="73" t="s">
        <v>16</v>
      </c>
      <c r="AJ64" s="73" t="str">
        <f>IF(COUNTIF($AE$3:AE64,AE64)&gt;1,"",AE64)</f>
        <v>TH09</v>
      </c>
    </row>
    <row r="65" spans="31:36">
      <c r="AE65" s="73" t="s">
        <v>270</v>
      </c>
      <c r="AF65" s="73" t="s">
        <v>264</v>
      </c>
      <c r="AG65" s="73" t="s">
        <v>285</v>
      </c>
      <c r="AH65" s="73" t="s">
        <v>328</v>
      </c>
      <c r="AI65" s="73" t="s">
        <v>16</v>
      </c>
      <c r="AJ65" s="73" t="str">
        <f>IF(COUNTIF($AE$3:AE65,AE65)&gt;1,"",AE65)</f>
        <v>CE03</v>
      </c>
    </row>
    <row r="66" spans="31:36">
      <c r="AE66" s="73" t="s">
        <v>271</v>
      </c>
      <c r="AF66" s="73" t="s">
        <v>265</v>
      </c>
      <c r="AG66" s="73" t="s">
        <v>286</v>
      </c>
      <c r="AH66" s="73" t="s">
        <v>328</v>
      </c>
      <c r="AI66" s="73" t="s">
        <v>16</v>
      </c>
      <c r="AJ66" s="73" t="str">
        <f>IF(COUNTIF($AE$3:AE66,AE66)&gt;1,"",AE66)</f>
        <v>CE04</v>
      </c>
    </row>
    <row r="67" spans="31:36">
      <c r="AE67" s="73" t="s">
        <v>272</v>
      </c>
      <c r="AF67" s="73" t="s">
        <v>262</v>
      </c>
      <c r="AG67" s="73" t="s">
        <v>287</v>
      </c>
      <c r="AH67" s="73" t="s">
        <v>328</v>
      </c>
      <c r="AI67" s="73" t="s">
        <v>16</v>
      </c>
      <c r="AJ67" s="73" t="str">
        <f>IF(COUNTIF($AE$3:AE67,AE67)&gt;1,"",AE67)</f>
        <v>CE05</v>
      </c>
    </row>
    <row r="68" spans="31:36">
      <c r="AE68" s="73" t="s">
        <v>273</v>
      </c>
      <c r="AF68" s="73" t="s">
        <v>266</v>
      </c>
      <c r="AG68" s="73" t="s">
        <v>288</v>
      </c>
      <c r="AH68" s="73" t="s">
        <v>328</v>
      </c>
      <c r="AI68" s="73" t="s">
        <v>16</v>
      </c>
      <c r="AJ68" s="73" t="str">
        <f>IF(COUNTIF($AE$3:AE68,AE68)&gt;1,"",AE68)</f>
        <v>CE06</v>
      </c>
    </row>
    <row r="69" spans="31:36">
      <c r="AE69" s="73" t="s">
        <v>275</v>
      </c>
      <c r="AF69" s="73" t="s">
        <v>278</v>
      </c>
      <c r="AG69" s="73" t="s">
        <v>290</v>
      </c>
      <c r="AH69" s="73" t="s">
        <v>328</v>
      </c>
      <c r="AI69" s="73" t="s">
        <v>16</v>
      </c>
      <c r="AJ69" s="73" t="str">
        <f>IF(COUNTIF($AE$3:AE69,AE69)&gt;1,"",AE69)</f>
        <v>CE08</v>
      </c>
    </row>
    <row r="70" spans="31:36">
      <c r="AE70" s="73" t="s">
        <v>277</v>
      </c>
      <c r="AF70" s="73" t="s">
        <v>281</v>
      </c>
      <c r="AG70" s="73" t="s">
        <v>292</v>
      </c>
      <c r="AH70" s="73" t="s">
        <v>328</v>
      </c>
      <c r="AI70" s="73" t="s">
        <v>16</v>
      </c>
      <c r="AJ70" s="73" t="str">
        <f>IF(COUNTIF($AE$3:AE70,AE70)&gt;1,"",AE70)</f>
        <v>CE10</v>
      </c>
    </row>
    <row r="71" spans="31:36">
      <c r="AE71" s="73" t="s">
        <v>280</v>
      </c>
      <c r="AF71" s="73" t="s">
        <v>282</v>
      </c>
      <c r="AG71" s="73" t="s">
        <v>293</v>
      </c>
      <c r="AH71" s="73" t="s">
        <v>328</v>
      </c>
      <c r="AI71" s="73" t="s">
        <v>16</v>
      </c>
      <c r="AJ71" s="73" t="str">
        <f>IF(COUNTIF($AE$3:AE71,AE71)&gt;1,"",AE71)</f>
        <v>CE11</v>
      </c>
    </row>
    <row r="72" spans="31:36">
      <c r="AE72" s="73" t="s">
        <v>297</v>
      </c>
      <c r="AF72" s="73" t="s">
        <v>299</v>
      </c>
      <c r="AG72" s="73" t="s">
        <v>303</v>
      </c>
      <c r="AH72" s="73" t="s">
        <v>295</v>
      </c>
      <c r="AI72" s="73" t="s">
        <v>16</v>
      </c>
      <c r="AJ72" s="73" t="str">
        <f>IF(COUNTIF($AE$3:AE72,AE72)&gt;1,"",AE72)</f>
        <v>ER02</v>
      </c>
    </row>
    <row r="73" spans="31:36">
      <c r="AE73" s="73" t="s">
        <v>298</v>
      </c>
      <c r="AF73" s="73" t="s">
        <v>301</v>
      </c>
      <c r="AG73" s="73" t="s">
        <v>304</v>
      </c>
      <c r="AH73" s="73" t="s">
        <v>295</v>
      </c>
      <c r="AI73" s="73" t="s">
        <v>16</v>
      </c>
      <c r="AJ73" s="73" t="str">
        <f>IF(COUNTIF($AE$3:AE73,AE73)&gt;1,"",AE73)</f>
        <v>ER03</v>
      </c>
    </row>
    <row r="74" spans="31:36">
      <c r="AE74" s="73" t="s">
        <v>307</v>
      </c>
      <c r="AF74" s="73" t="s">
        <v>313</v>
      </c>
      <c r="AG74" s="73" t="s">
        <v>317</v>
      </c>
      <c r="AH74" s="73" t="s">
        <v>295</v>
      </c>
      <c r="AI74" s="73" t="s">
        <v>16</v>
      </c>
      <c r="AJ74" s="73" t="str">
        <f>IF(COUNTIF($AE$3:AE74,AE74)&gt;1,"",AE74)</f>
        <v>EW03</v>
      </c>
    </row>
    <row r="75" spans="31:36">
      <c r="AE75" s="73" t="s">
        <v>308</v>
      </c>
      <c r="AF75" s="73" t="s">
        <v>319</v>
      </c>
      <c r="AG75" s="73" t="s">
        <v>321</v>
      </c>
      <c r="AH75" s="73" t="s">
        <v>295</v>
      </c>
      <c r="AI75" s="73" t="s">
        <v>16</v>
      </c>
      <c r="AJ75" s="73" t="str">
        <f>IF(COUNTIF($AE$3:AE75,AE75)&gt;1,"",AE75)</f>
        <v>EW04</v>
      </c>
    </row>
    <row r="76" spans="31:36">
      <c r="AE76" s="73" t="s">
        <v>309</v>
      </c>
      <c r="AF76" s="73" t="s">
        <v>320</v>
      </c>
      <c r="AG76" s="73" t="s">
        <v>322</v>
      </c>
      <c r="AH76" s="73" t="s">
        <v>295</v>
      </c>
      <c r="AI76" s="73" t="s">
        <v>16</v>
      </c>
      <c r="AJ76" s="73" t="str">
        <f>IF(COUNTIF($AE$3:AE76,AE76)&gt;1,"",AE76)</f>
        <v>EW05</v>
      </c>
    </row>
    <row r="77" spans="31:36">
      <c r="AE77" s="73" t="s">
        <v>310</v>
      </c>
      <c r="AF77" s="73" t="s">
        <v>314</v>
      </c>
      <c r="AG77" s="73" t="s">
        <v>318</v>
      </c>
      <c r="AH77" s="73" t="s">
        <v>295</v>
      </c>
      <c r="AI77" s="73" t="s">
        <v>16</v>
      </c>
      <c r="AJ77" s="73" t="str">
        <f>IF(COUNTIF($AE$3:AE77,AE77)&gt;1,"",AE77)</f>
        <v>EW06</v>
      </c>
    </row>
    <row r="78" spans="31:36">
      <c r="AE78" s="73" t="s">
        <v>294</v>
      </c>
      <c r="AF78" s="73"/>
      <c r="AG78" s="73"/>
      <c r="AH78" s="73"/>
      <c r="AI78" s="73"/>
      <c r="AJ78" s="7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63CE8-36A8-4B07-B414-CFB4C80699C0}">
  <sheetPr codeName="MessageListSheet"/>
  <dimension ref="A2:E17"/>
  <sheetViews>
    <sheetView workbookViewId="0">
      <selection activeCell="A2" sqref="A2"/>
    </sheetView>
  </sheetViews>
  <sheetFormatPr defaultRowHeight="13.5"/>
  <cols>
    <col min="1" max="1" width="9.5" bestFit="1" customWidth="1"/>
    <col min="4" max="4" width="30.875" customWidth="1"/>
    <col min="5" max="5" width="100.875" customWidth="1"/>
  </cols>
  <sheetData>
    <row r="2" spans="1:5">
      <c r="A2" s="1" t="s">
        <v>6</v>
      </c>
      <c r="B2" s="2" t="s">
        <v>0</v>
      </c>
      <c r="C2" s="2" t="s">
        <v>1</v>
      </c>
      <c r="D2" s="2" t="s">
        <v>2</v>
      </c>
      <c r="E2" s="3" t="s">
        <v>3</v>
      </c>
    </row>
    <row r="3" spans="1:5" ht="27">
      <c r="A3" s="4" t="str">
        <f t="shared" ref="A3" ca="1" si="0">IF(C3="","","S"&amp;LEFT(B3)&amp;TEXT(C3,"000"))</f>
        <v>SF001</v>
      </c>
      <c r="B3" s="5" t="s">
        <v>4</v>
      </c>
      <c r="C3" s="6">
        <f ca="1">IF(B3="","",MAX($C$2:OFFSET(C3,-1,0))+1)</f>
        <v>1</v>
      </c>
      <c r="D3" s="7" t="s">
        <v>7</v>
      </c>
      <c r="E3" s="8" t="s">
        <v>5</v>
      </c>
    </row>
    <row r="4" spans="1:5" ht="40.5">
      <c r="A4" s="9" t="str">
        <f t="shared" ref="A4:A10" ca="1" si="1">IF(C4="","","S"&amp;LEFT(B4)&amp;TEXT(C4,"000"))</f>
        <v>SE002</v>
      </c>
      <c r="B4" s="10" t="s">
        <v>391</v>
      </c>
      <c r="C4" s="11">
        <f ca="1">IF(B4="","",MAX($C$2:OFFSET(C4,-1,0))+1)</f>
        <v>2</v>
      </c>
      <c r="D4" s="12" t="s">
        <v>392</v>
      </c>
      <c r="E4" s="13" t="s">
        <v>393</v>
      </c>
    </row>
    <row r="5" spans="1:5" ht="27">
      <c r="A5" s="9" t="str">
        <f t="shared" ca="1" si="1"/>
        <v>SQ003</v>
      </c>
      <c r="B5" s="10" t="s">
        <v>504</v>
      </c>
      <c r="C5" s="11">
        <f ca="1">IF(B5="","",MAX($C$2:OFFSET(C5,-1,0))+1)</f>
        <v>3</v>
      </c>
      <c r="D5" s="12" t="s">
        <v>508</v>
      </c>
      <c r="E5" s="13" t="s">
        <v>505</v>
      </c>
    </row>
    <row r="6" spans="1:5">
      <c r="A6" s="9" t="str">
        <f t="shared" ca="1" si="1"/>
        <v>SI004</v>
      </c>
      <c r="B6" s="10" t="s">
        <v>506</v>
      </c>
      <c r="C6" s="11">
        <f ca="1">IF(B6="","",MAX($C$2:OFFSET(C6,-1,0))+1)</f>
        <v>4</v>
      </c>
      <c r="D6" s="12" t="s">
        <v>507</v>
      </c>
      <c r="E6" s="13" t="s">
        <v>509</v>
      </c>
    </row>
    <row r="7" spans="1:5">
      <c r="A7" s="9" t="str">
        <f t="shared" ca="1" si="1"/>
        <v>SE005</v>
      </c>
      <c r="B7" s="10" t="s">
        <v>391</v>
      </c>
      <c r="C7" s="11">
        <f ca="1">IF(B7="","",MAX($C$2:OFFSET(C7,-1,0))+1)</f>
        <v>5</v>
      </c>
      <c r="D7" s="12" t="s">
        <v>510</v>
      </c>
      <c r="E7" s="13" t="s">
        <v>512</v>
      </c>
    </row>
    <row r="8" spans="1:5" ht="27">
      <c r="A8" s="9" t="str">
        <f t="shared" ca="1" si="1"/>
        <v>SE006</v>
      </c>
      <c r="B8" s="10" t="s">
        <v>391</v>
      </c>
      <c r="C8" s="11">
        <f ca="1">IF(B8="","",MAX($C$2:OFFSET(C8,-1,0))+1)</f>
        <v>6</v>
      </c>
      <c r="D8" s="12" t="s">
        <v>511</v>
      </c>
      <c r="E8" s="13" t="s">
        <v>513</v>
      </c>
    </row>
    <row r="9" spans="1:5">
      <c r="A9" s="9" t="str">
        <f t="shared" ca="1" si="1"/>
        <v>SI007</v>
      </c>
      <c r="B9" s="10" t="s">
        <v>506</v>
      </c>
      <c r="C9" s="11">
        <f ca="1">IF(B9="","",MAX($C$2:OFFSET(C9,-1,0))+1)</f>
        <v>7</v>
      </c>
      <c r="D9" s="12" t="s">
        <v>514</v>
      </c>
      <c r="E9" s="13" t="s">
        <v>515</v>
      </c>
    </row>
    <row r="10" spans="1:5">
      <c r="A10" s="9" t="str">
        <f t="shared" ca="1" si="1"/>
        <v>SI008</v>
      </c>
      <c r="B10" s="10" t="s">
        <v>506</v>
      </c>
      <c r="C10" s="11">
        <f ca="1">IF(B10="","",MAX($C$2:OFFSET(C10,-1,0))+1)</f>
        <v>8</v>
      </c>
      <c r="D10" s="12" t="s">
        <v>550</v>
      </c>
      <c r="E10" s="13" t="s">
        <v>551</v>
      </c>
    </row>
    <row r="11" spans="1:5" ht="27">
      <c r="A11" s="9" t="str">
        <f t="shared" ref="A11:A17" ca="1" si="2">IF(C11="","","S"&amp;LEFT(B11)&amp;TEXT(C11,"000"))</f>
        <v>SE009</v>
      </c>
      <c r="B11" s="10" t="s">
        <v>522</v>
      </c>
      <c r="C11" s="11">
        <f ca="1">IF(B11="","",MAX($C$2:OFFSET(C11,-1,0))+1)</f>
        <v>9</v>
      </c>
      <c r="D11" s="12" t="s">
        <v>520</v>
      </c>
      <c r="E11" s="13" t="s">
        <v>521</v>
      </c>
    </row>
    <row r="12" spans="1:5">
      <c r="A12" s="9" t="str">
        <f t="shared" ca="1" si="2"/>
        <v>SI010</v>
      </c>
      <c r="B12" s="10" t="s">
        <v>506</v>
      </c>
      <c r="C12" s="11">
        <f ca="1">IF(B12="","",MAX($C$2:OFFSET(C12,-1,0))+1)</f>
        <v>10</v>
      </c>
      <c r="D12" s="12" t="s">
        <v>523</v>
      </c>
      <c r="E12" s="13" t="s">
        <v>524</v>
      </c>
    </row>
    <row r="13" spans="1:5">
      <c r="A13" s="9" t="str">
        <f t="shared" ca="1" si="2"/>
        <v>SI011</v>
      </c>
      <c r="B13" s="10" t="s">
        <v>506</v>
      </c>
      <c r="C13" s="11">
        <f ca="1">IF(B13="","",MAX($C$2:OFFSET(C13,-1,0))+1)</f>
        <v>11</v>
      </c>
      <c r="D13" s="12" t="s">
        <v>528</v>
      </c>
      <c r="E13" s="13" t="s">
        <v>529</v>
      </c>
    </row>
    <row r="14" spans="1:5">
      <c r="A14" s="9" t="str">
        <f t="shared" ca="1" si="2"/>
        <v>SI012</v>
      </c>
      <c r="B14" s="10" t="s">
        <v>506</v>
      </c>
      <c r="C14" s="11">
        <f ca="1">IF(B14="","",MAX($C$2:OFFSET(C14,-1,0))+1)</f>
        <v>12</v>
      </c>
      <c r="D14" s="12" t="s">
        <v>530</v>
      </c>
      <c r="E14" s="13" t="s">
        <v>531</v>
      </c>
    </row>
    <row r="15" spans="1:5">
      <c r="A15" s="9" t="str">
        <f t="shared" ca="1" si="2"/>
        <v>SI013</v>
      </c>
      <c r="B15" s="10" t="s">
        <v>506</v>
      </c>
      <c r="C15" s="11">
        <f ca="1">IF(B15="","",MAX($C$2:OFFSET(C15,-1,0))+1)</f>
        <v>13</v>
      </c>
      <c r="D15" s="12" t="s">
        <v>547</v>
      </c>
      <c r="E15" s="13" t="s">
        <v>548</v>
      </c>
    </row>
    <row r="16" spans="1:5">
      <c r="A16" s="9" t="str">
        <f t="shared" ca="1" si="2"/>
        <v>SI014</v>
      </c>
      <c r="B16" s="10" t="s">
        <v>506</v>
      </c>
      <c r="C16" s="11">
        <f ca="1">IF(B16="","",MAX($C$2:OFFSET(C16,-1,0))+1)</f>
        <v>14</v>
      </c>
      <c r="D16" s="12" t="s">
        <v>552</v>
      </c>
      <c r="E16" s="13" t="s">
        <v>549</v>
      </c>
    </row>
    <row r="17" spans="1:5">
      <c r="A17" s="9" t="str">
        <f t="shared" ca="1" si="2"/>
        <v/>
      </c>
      <c r="B17" s="10"/>
      <c r="C17" s="11" t="str">
        <f ca="1">IF(B17="","",MAX($C$2:OFFSET(C17,-1,0))+1)</f>
        <v/>
      </c>
      <c r="D17" s="12"/>
      <c r="E17" s="13"/>
    </row>
  </sheetData>
  <phoneticPr fontId="1"/>
  <dataValidations count="1">
    <dataValidation type="list" allowBlank="1" showInputMessage="1" showErrorMessage="1" sqref="B3:B17" xr:uid="{4CC896FB-9C26-425A-A2BE-4CC093E2D28D}">
      <formula1>"FATAL,ERROR,WARN,INFO,QUESTION"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77DCF-C9FF-4364-8E02-737EA33F1DA1}">
  <sheetPr codeName="Sheet3"/>
  <dimension ref="A1:H71"/>
  <sheetViews>
    <sheetView showGridLines="0" workbookViewId="0">
      <pane xSplit="5" ySplit="1" topLeftCell="F21" activePane="bottomRight" state="frozen"/>
      <selection pane="topRight" activeCell="F1" sqref="F1"/>
      <selection pane="bottomLeft" activeCell="A2" sqref="A2"/>
      <selection pane="bottomRight" activeCell="F43" sqref="F43"/>
    </sheetView>
  </sheetViews>
  <sheetFormatPr defaultRowHeight="13.5"/>
  <cols>
    <col min="1" max="4" width="2.625" customWidth="1"/>
    <col min="5" max="5" width="21.125" customWidth="1"/>
    <col min="6" max="6" width="15.625" customWidth="1"/>
    <col min="7" max="7" width="35.625" customWidth="1"/>
    <col min="8" max="8" width="100.875" customWidth="1"/>
  </cols>
  <sheetData>
    <row r="1" spans="1:8" ht="28.5">
      <c r="A1" s="15" t="s">
        <v>23</v>
      </c>
    </row>
    <row r="2" spans="1:8">
      <c r="B2" s="19" t="s">
        <v>24</v>
      </c>
      <c r="C2" s="20"/>
      <c r="D2" s="20"/>
      <c r="E2" s="21"/>
      <c r="F2" s="29"/>
      <c r="G2" s="29"/>
      <c r="H2" s="30"/>
    </row>
    <row r="3" spans="1:8">
      <c r="B3" s="22"/>
      <c r="C3" s="23" t="s">
        <v>34</v>
      </c>
      <c r="D3" s="24"/>
      <c r="E3" s="25"/>
      <c r="F3" s="31"/>
      <c r="G3" s="31"/>
      <c r="H3" s="32"/>
    </row>
    <row r="4" spans="1:8">
      <c r="B4" s="22"/>
      <c r="C4" s="26"/>
      <c r="D4" s="127" t="s">
        <v>25</v>
      </c>
      <c r="E4" s="25"/>
      <c r="F4" s="177" t="s">
        <v>559</v>
      </c>
      <c r="G4" s="178"/>
      <c r="H4" s="179"/>
    </row>
    <row r="5" spans="1:8">
      <c r="B5" s="22"/>
      <c r="C5" s="26"/>
      <c r="D5" s="24" t="s">
        <v>36</v>
      </c>
      <c r="E5" s="25"/>
      <c r="F5" s="177"/>
      <c r="G5" s="178"/>
      <c r="H5" s="179"/>
    </row>
    <row r="6" spans="1:8">
      <c r="B6" s="22"/>
      <c r="C6" s="27"/>
      <c r="D6" s="24" t="s">
        <v>26</v>
      </c>
      <c r="E6" s="25"/>
      <c r="F6" s="134" t="s">
        <v>560</v>
      </c>
      <c r="G6" s="31"/>
      <c r="H6" s="32"/>
    </row>
    <row r="7" spans="1:8">
      <c r="B7" s="22"/>
      <c r="C7" s="23" t="s">
        <v>33</v>
      </c>
      <c r="D7" s="24"/>
      <c r="E7" s="25"/>
      <c r="F7" s="31"/>
      <c r="G7" s="31"/>
      <c r="H7" s="32"/>
    </row>
    <row r="8" spans="1:8">
      <c r="B8" s="22"/>
      <c r="C8" s="26"/>
      <c r="D8" s="128" t="s">
        <v>27</v>
      </c>
      <c r="E8" s="25"/>
      <c r="F8" s="177" t="s">
        <v>516</v>
      </c>
      <c r="G8" s="178"/>
      <c r="H8" s="179"/>
    </row>
    <row r="9" spans="1:8">
      <c r="B9" s="22"/>
      <c r="C9" s="26"/>
      <c r="D9" s="24" t="s">
        <v>37</v>
      </c>
      <c r="E9" s="25"/>
      <c r="F9" s="177"/>
      <c r="G9" s="178"/>
      <c r="H9" s="179"/>
    </row>
    <row r="10" spans="1:8">
      <c r="B10" s="22"/>
      <c r="C10" s="26"/>
      <c r="D10" s="24" t="s">
        <v>28</v>
      </c>
      <c r="E10" s="25"/>
      <c r="F10" s="134" t="s">
        <v>517</v>
      </c>
      <c r="G10" s="31"/>
      <c r="H10" s="32"/>
    </row>
    <row r="11" spans="1:8">
      <c r="B11" s="22"/>
      <c r="C11" s="27"/>
      <c r="D11" s="24" t="s">
        <v>29</v>
      </c>
      <c r="E11" s="25"/>
      <c r="F11" s="17" t="s">
        <v>518</v>
      </c>
      <c r="G11" s="31"/>
      <c r="H11" s="32"/>
    </row>
    <row r="12" spans="1:8">
      <c r="B12" s="22"/>
      <c r="C12" s="23" t="s">
        <v>35</v>
      </c>
      <c r="D12" s="24"/>
      <c r="E12" s="25"/>
      <c r="F12" s="31"/>
      <c r="G12" s="31"/>
      <c r="H12" s="32"/>
    </row>
    <row r="13" spans="1:8">
      <c r="B13" s="22"/>
      <c r="C13" s="26"/>
      <c r="D13" s="128" t="s">
        <v>30</v>
      </c>
      <c r="E13" s="25"/>
      <c r="F13" s="16">
        <v>2023</v>
      </c>
      <c r="G13" s="33"/>
      <c r="H13" s="32"/>
    </row>
    <row r="14" spans="1:8">
      <c r="B14" s="22"/>
      <c r="C14" s="26"/>
      <c r="D14" s="24" t="s">
        <v>31</v>
      </c>
      <c r="E14" s="25"/>
      <c r="F14" s="163">
        <v>45614</v>
      </c>
      <c r="G14" s="33"/>
      <c r="H14" s="32"/>
    </row>
    <row r="15" spans="1:8">
      <c r="B15" s="22"/>
      <c r="C15" s="27"/>
      <c r="D15" s="24" t="s">
        <v>32</v>
      </c>
      <c r="E15" s="25"/>
      <c r="F15" s="163">
        <v>45614</v>
      </c>
      <c r="G15" s="33"/>
      <c r="H15" s="32"/>
    </row>
    <row r="16" spans="1:8">
      <c r="B16" s="22"/>
      <c r="C16" s="23" t="s">
        <v>38</v>
      </c>
      <c r="D16" s="24"/>
      <c r="E16" s="25"/>
      <c r="F16" s="31"/>
      <c r="G16" s="31"/>
      <c r="H16" s="32"/>
    </row>
    <row r="17" spans="2:8">
      <c r="B17" s="22"/>
      <c r="C17" s="26"/>
      <c r="D17" s="24" t="s">
        <v>39</v>
      </c>
      <c r="E17" s="25"/>
      <c r="F17" s="180" t="s">
        <v>519</v>
      </c>
      <c r="G17" s="180"/>
      <c r="H17" s="181"/>
    </row>
    <row r="18" spans="2:8" ht="45" customHeight="1">
      <c r="B18" s="22"/>
      <c r="C18" s="26"/>
      <c r="D18" s="24" t="s">
        <v>40</v>
      </c>
      <c r="E18" s="25"/>
      <c r="F18" s="175"/>
      <c r="G18" s="175"/>
      <c r="H18" s="176"/>
    </row>
    <row r="19" spans="2:8" ht="45" customHeight="1">
      <c r="B19" s="22"/>
      <c r="C19" s="26"/>
      <c r="D19" s="24" t="s">
        <v>41</v>
      </c>
      <c r="E19" s="25"/>
      <c r="F19" s="175" t="s">
        <v>561</v>
      </c>
      <c r="G19" s="175"/>
      <c r="H19" s="176"/>
    </row>
    <row r="20" spans="2:8" ht="45" customHeight="1">
      <c r="B20" s="22"/>
      <c r="C20" s="26"/>
      <c r="D20" s="24" t="s">
        <v>42</v>
      </c>
      <c r="E20" s="25"/>
      <c r="F20" s="175"/>
      <c r="G20" s="175"/>
      <c r="H20" s="176"/>
    </row>
    <row r="21" spans="2:8" ht="45" customHeight="1">
      <c r="B21" s="22"/>
      <c r="C21" s="26"/>
      <c r="D21" s="24" t="s">
        <v>43</v>
      </c>
      <c r="E21" s="25"/>
      <c r="F21" s="175"/>
      <c r="G21" s="175"/>
      <c r="H21" s="176"/>
    </row>
    <row r="22" spans="2:8" ht="45" customHeight="1">
      <c r="B22" s="22"/>
      <c r="C22" s="26"/>
      <c r="D22" s="24" t="s">
        <v>44</v>
      </c>
      <c r="E22" s="25"/>
      <c r="F22" s="175"/>
      <c r="G22" s="175"/>
      <c r="H22" s="176"/>
    </row>
    <row r="23" spans="2:8" ht="45" customHeight="1">
      <c r="B23" s="28"/>
      <c r="C23" s="27"/>
      <c r="D23" s="24" t="s">
        <v>45</v>
      </c>
      <c r="E23" s="25"/>
      <c r="F23" s="175"/>
      <c r="G23" s="175"/>
      <c r="H23" s="176"/>
    </row>
    <row r="24" spans="2:8">
      <c r="B24" s="37" t="s">
        <v>46</v>
      </c>
      <c r="C24" s="38"/>
      <c r="D24" s="38"/>
      <c r="E24" s="39"/>
      <c r="F24" s="31"/>
      <c r="G24" s="31"/>
      <c r="H24" s="32"/>
    </row>
    <row r="25" spans="2:8">
      <c r="B25" s="40"/>
      <c r="C25" s="41" t="s">
        <v>47</v>
      </c>
      <c r="D25" s="38"/>
      <c r="E25" s="39"/>
      <c r="F25" s="36" t="s">
        <v>71</v>
      </c>
      <c r="G25" s="31">
        <f ca="1">VLOOKUP(F25,OFFSET(Code_Point,0,1),2,FALSE)</f>
        <v>0</v>
      </c>
      <c r="H25" s="32"/>
    </row>
    <row r="26" spans="2:8">
      <c r="B26" s="40"/>
      <c r="C26" s="42"/>
      <c r="D26" s="38" t="s">
        <v>59</v>
      </c>
      <c r="E26" s="39"/>
      <c r="F26" s="17" t="s">
        <v>73</v>
      </c>
      <c r="G26" s="31">
        <f ca="1">VLOOKUP(F26,OFFSET(Code_Same_Score,0,1),2,FALSE)</f>
        <v>1</v>
      </c>
      <c r="H26" s="32"/>
    </row>
    <row r="27" spans="2:8">
      <c r="B27" s="40"/>
      <c r="C27" s="42"/>
      <c r="D27" s="38" t="s">
        <v>48</v>
      </c>
      <c r="E27" s="39"/>
      <c r="F27" s="17">
        <v>0</v>
      </c>
      <c r="G27" s="31"/>
      <c r="H27" s="32"/>
    </row>
    <row r="28" spans="2:8">
      <c r="B28" s="40"/>
      <c r="C28" s="42"/>
      <c r="D28" s="43" t="s">
        <v>49</v>
      </c>
      <c r="E28" s="39"/>
      <c r="F28" s="17">
        <v>8</v>
      </c>
      <c r="G28" s="31"/>
      <c r="H28" s="32"/>
    </row>
    <row r="29" spans="2:8">
      <c r="B29" s="40"/>
      <c r="C29" s="42"/>
      <c r="D29" s="43" t="s">
        <v>50</v>
      </c>
      <c r="E29" s="39"/>
      <c r="F29" s="17">
        <v>7</v>
      </c>
      <c r="G29" s="31"/>
      <c r="H29" s="32"/>
    </row>
    <row r="30" spans="2:8">
      <c r="B30" s="40"/>
      <c r="C30" s="42"/>
      <c r="D30" s="43" t="s">
        <v>51</v>
      </c>
      <c r="E30" s="39"/>
      <c r="F30" s="17">
        <v>6</v>
      </c>
      <c r="G30" s="31"/>
      <c r="H30" s="32"/>
    </row>
    <row r="31" spans="2:8">
      <c r="B31" s="40"/>
      <c r="C31" s="42"/>
      <c r="D31" s="43" t="s">
        <v>52</v>
      </c>
      <c r="E31" s="39"/>
      <c r="F31" s="17">
        <v>5</v>
      </c>
      <c r="G31" s="31"/>
      <c r="H31" s="32"/>
    </row>
    <row r="32" spans="2:8">
      <c r="B32" s="40"/>
      <c r="C32" s="42"/>
      <c r="D32" s="43" t="s">
        <v>53</v>
      </c>
      <c r="E32" s="39"/>
      <c r="F32" s="17">
        <v>4</v>
      </c>
      <c r="G32" s="31"/>
      <c r="H32" s="32"/>
    </row>
    <row r="33" spans="2:8">
      <c r="B33" s="40"/>
      <c r="C33" s="42"/>
      <c r="D33" s="43" t="s">
        <v>54</v>
      </c>
      <c r="E33" s="39"/>
      <c r="F33" s="17">
        <v>3</v>
      </c>
      <c r="G33" s="31"/>
      <c r="H33" s="32"/>
    </row>
    <row r="34" spans="2:8">
      <c r="B34" s="40"/>
      <c r="C34" s="42"/>
      <c r="D34" s="43" t="s">
        <v>55</v>
      </c>
      <c r="E34" s="39"/>
      <c r="F34" s="17">
        <v>2</v>
      </c>
      <c r="G34" s="31"/>
      <c r="H34" s="32"/>
    </row>
    <row r="35" spans="2:8">
      <c r="B35" s="40"/>
      <c r="C35" s="42"/>
      <c r="D35" s="43" t="s">
        <v>56</v>
      </c>
      <c r="E35" s="39"/>
      <c r="F35" s="17">
        <v>1</v>
      </c>
      <c r="G35" s="31"/>
      <c r="H35" s="32"/>
    </row>
    <row r="36" spans="2:8">
      <c r="B36" s="40"/>
      <c r="C36" s="42"/>
      <c r="D36" s="43" t="s">
        <v>57</v>
      </c>
      <c r="E36" s="39"/>
      <c r="F36" s="17">
        <v>0</v>
      </c>
      <c r="G36" s="31"/>
      <c r="H36" s="32"/>
    </row>
    <row r="37" spans="2:8">
      <c r="B37" s="40"/>
      <c r="C37" s="44"/>
      <c r="D37" s="43" t="s">
        <v>58</v>
      </c>
      <c r="E37" s="39"/>
      <c r="F37" s="17">
        <v>0</v>
      </c>
      <c r="G37" s="31"/>
      <c r="H37" s="32"/>
    </row>
    <row r="38" spans="2:8">
      <c r="B38" s="59"/>
      <c r="C38" s="41" t="s">
        <v>60</v>
      </c>
      <c r="D38" s="45"/>
      <c r="E38" s="46"/>
      <c r="F38" s="18">
        <v>5</v>
      </c>
      <c r="G38" s="34"/>
      <c r="H38" s="35"/>
    </row>
    <row r="39" spans="2:8">
      <c r="B39" s="59"/>
      <c r="C39" s="41" t="s">
        <v>76</v>
      </c>
      <c r="D39" s="45"/>
      <c r="E39" s="46"/>
      <c r="F39" s="18">
        <v>8</v>
      </c>
      <c r="G39" s="49"/>
      <c r="H39" s="50"/>
    </row>
    <row r="40" spans="2:8">
      <c r="B40" s="59"/>
      <c r="C40" s="41" t="s">
        <v>77</v>
      </c>
      <c r="D40" s="45"/>
      <c r="E40" s="46"/>
      <c r="F40" s="18"/>
      <c r="G40" s="47"/>
      <c r="H40" s="48"/>
    </row>
    <row r="41" spans="2:8">
      <c r="B41" s="59"/>
      <c r="C41" s="42"/>
      <c r="D41" s="45" t="s">
        <v>78</v>
      </c>
      <c r="E41" s="46"/>
      <c r="F41" s="51" t="s">
        <v>567</v>
      </c>
      <c r="G41" s="47"/>
      <c r="H41" s="48"/>
    </row>
    <row r="42" spans="2:8">
      <c r="B42" s="59"/>
      <c r="C42" s="42"/>
      <c r="D42" s="45" t="s">
        <v>79</v>
      </c>
      <c r="E42" s="46"/>
      <c r="F42" s="18" t="s">
        <v>568</v>
      </c>
      <c r="G42" s="47"/>
      <c r="H42" s="48"/>
    </row>
    <row r="43" spans="2:8">
      <c r="B43" s="60"/>
      <c r="C43" s="44"/>
      <c r="D43" s="45" t="s">
        <v>80</v>
      </c>
      <c r="E43" s="46"/>
      <c r="F43" s="18" t="s">
        <v>81</v>
      </c>
      <c r="G43" s="47"/>
      <c r="H43" s="48"/>
    </row>
    <row r="44" spans="2:8">
      <c r="B44" s="37"/>
      <c r="C44" s="41"/>
      <c r="D44" s="45"/>
      <c r="E44" s="46"/>
      <c r="F44" s="18"/>
      <c r="G44" s="47"/>
      <c r="H44" s="48"/>
    </row>
    <row r="45" spans="2:8">
      <c r="B45" s="37"/>
      <c r="C45" s="41"/>
      <c r="D45" s="45"/>
      <c r="E45" s="46"/>
      <c r="F45" s="18"/>
      <c r="G45" s="47"/>
      <c r="H45" s="48"/>
    </row>
    <row r="46" spans="2:8">
      <c r="B46" s="37"/>
      <c r="C46" s="41"/>
      <c r="D46" s="45"/>
      <c r="E46" s="46"/>
      <c r="F46" s="18"/>
      <c r="G46" s="47"/>
      <c r="H46" s="48"/>
    </row>
    <row r="47" spans="2:8">
      <c r="B47" s="37"/>
      <c r="C47" s="41"/>
      <c r="D47" s="45"/>
      <c r="E47" s="46"/>
      <c r="F47" s="18"/>
      <c r="G47" s="47"/>
      <c r="H47" s="48"/>
    </row>
    <row r="48" spans="2:8">
      <c r="B48" s="37"/>
      <c r="C48" s="41"/>
      <c r="D48" s="45"/>
      <c r="E48" s="46"/>
      <c r="F48" s="18"/>
      <c r="G48" s="47"/>
      <c r="H48" s="48"/>
    </row>
    <row r="49" spans="2:8">
      <c r="B49" s="37"/>
      <c r="C49" s="41"/>
      <c r="D49" s="45"/>
      <c r="E49" s="46"/>
      <c r="F49" s="18"/>
      <c r="G49" s="47"/>
      <c r="H49" s="48"/>
    </row>
    <row r="50" spans="2:8">
      <c r="B50" s="37"/>
      <c r="C50" s="41"/>
      <c r="D50" s="45"/>
      <c r="E50" s="46"/>
      <c r="F50" s="18"/>
      <c r="G50" s="47"/>
      <c r="H50" s="48"/>
    </row>
    <row r="51" spans="2:8">
      <c r="B51" s="37"/>
      <c r="C51" s="41"/>
      <c r="D51" s="45"/>
      <c r="E51" s="46"/>
      <c r="F51" s="18"/>
      <c r="G51" s="47"/>
      <c r="H51" s="48"/>
    </row>
    <row r="52" spans="2:8">
      <c r="B52" s="37"/>
      <c r="C52" s="41"/>
      <c r="D52" s="45"/>
      <c r="E52" s="46"/>
      <c r="F52" s="18"/>
      <c r="G52" s="47"/>
      <c r="H52" s="48"/>
    </row>
    <row r="53" spans="2:8">
      <c r="B53" s="37"/>
      <c r="C53" s="41"/>
      <c r="D53" s="45"/>
      <c r="E53" s="46"/>
      <c r="F53" s="18"/>
      <c r="G53" s="47"/>
      <c r="H53" s="48"/>
    </row>
    <row r="54" spans="2:8">
      <c r="B54" s="37"/>
      <c r="C54" s="41"/>
      <c r="D54" s="45"/>
      <c r="E54" s="46"/>
      <c r="F54" s="18"/>
      <c r="G54" s="47"/>
      <c r="H54" s="48"/>
    </row>
    <row r="55" spans="2:8">
      <c r="B55" s="37"/>
      <c r="C55" s="41"/>
      <c r="D55" s="45"/>
      <c r="E55" s="46"/>
      <c r="F55" s="18"/>
      <c r="G55" s="47"/>
      <c r="H55" s="48"/>
    </row>
    <row r="56" spans="2:8">
      <c r="B56" s="37"/>
      <c r="C56" s="41"/>
      <c r="D56" s="45"/>
      <c r="E56" s="46"/>
      <c r="F56" s="18"/>
      <c r="G56" s="47"/>
      <c r="H56" s="48"/>
    </row>
    <row r="57" spans="2:8">
      <c r="B57" s="37"/>
      <c r="C57" s="41"/>
      <c r="D57" s="45"/>
      <c r="E57" s="46"/>
      <c r="F57" s="18"/>
      <c r="G57" s="47"/>
      <c r="H57" s="48"/>
    </row>
    <row r="58" spans="2:8">
      <c r="B58" s="37"/>
      <c r="C58" s="41"/>
      <c r="D58" s="45"/>
      <c r="E58" s="46"/>
      <c r="F58" s="18"/>
      <c r="G58" s="47"/>
      <c r="H58" s="48"/>
    </row>
    <row r="59" spans="2:8">
      <c r="B59" s="37"/>
      <c r="C59" s="41"/>
      <c r="D59" s="45"/>
      <c r="E59" s="46"/>
      <c r="F59" s="18"/>
      <c r="G59" s="47"/>
      <c r="H59" s="48"/>
    </row>
    <row r="60" spans="2:8">
      <c r="B60" s="37"/>
      <c r="C60" s="41"/>
      <c r="D60" s="45"/>
      <c r="E60" s="46"/>
      <c r="F60" s="18"/>
      <c r="G60" s="47"/>
      <c r="H60" s="48"/>
    </row>
    <row r="61" spans="2:8">
      <c r="B61" s="37"/>
      <c r="C61" s="41"/>
      <c r="D61" s="45"/>
      <c r="E61" s="46"/>
      <c r="F61" s="18"/>
      <c r="G61" s="47"/>
      <c r="H61" s="48"/>
    </row>
    <row r="62" spans="2:8">
      <c r="B62" s="37"/>
      <c r="C62" s="41"/>
      <c r="D62" s="45"/>
      <c r="E62" s="46"/>
      <c r="F62" s="18"/>
      <c r="G62" s="47"/>
      <c r="H62" s="48"/>
    </row>
    <row r="63" spans="2:8">
      <c r="B63" s="37"/>
      <c r="C63" s="41"/>
      <c r="D63" s="45"/>
      <c r="E63" s="46"/>
      <c r="F63" s="18"/>
      <c r="G63" s="47"/>
      <c r="H63" s="48"/>
    </row>
    <row r="64" spans="2:8">
      <c r="B64" s="37"/>
      <c r="C64" s="41"/>
      <c r="D64" s="45"/>
      <c r="E64" s="46"/>
      <c r="F64" s="18"/>
      <c r="G64" s="47"/>
      <c r="H64" s="48"/>
    </row>
    <row r="65" spans="2:8">
      <c r="B65" s="37"/>
      <c r="C65" s="41"/>
      <c r="D65" s="45"/>
      <c r="E65" s="46"/>
      <c r="F65" s="18"/>
      <c r="G65" s="47"/>
      <c r="H65" s="48"/>
    </row>
    <row r="66" spans="2:8">
      <c r="B66" s="37"/>
      <c r="C66" s="41"/>
      <c r="D66" s="45"/>
      <c r="E66" s="46"/>
      <c r="F66" s="18"/>
      <c r="G66" s="47"/>
      <c r="H66" s="48"/>
    </row>
    <row r="67" spans="2:8">
      <c r="B67" s="37"/>
      <c r="C67" s="41"/>
      <c r="D67" s="45"/>
      <c r="E67" s="46"/>
      <c r="F67" s="18"/>
      <c r="G67" s="47"/>
      <c r="H67" s="48"/>
    </row>
    <row r="68" spans="2:8">
      <c r="B68" s="37"/>
      <c r="C68" s="41"/>
      <c r="D68" s="45"/>
      <c r="E68" s="46"/>
      <c r="F68" s="18"/>
      <c r="G68" s="47"/>
      <c r="H68" s="48"/>
    </row>
    <row r="69" spans="2:8">
      <c r="B69" s="37"/>
      <c r="C69" s="41"/>
      <c r="D69" s="45"/>
      <c r="E69" s="46"/>
      <c r="F69" s="18"/>
      <c r="G69" s="47"/>
      <c r="H69" s="48"/>
    </row>
    <row r="70" spans="2:8">
      <c r="B70" s="37"/>
      <c r="C70" s="41"/>
      <c r="D70" s="45"/>
      <c r="E70" s="46"/>
      <c r="F70" s="18"/>
      <c r="G70" s="47"/>
      <c r="H70" s="48"/>
    </row>
    <row r="71" spans="2:8">
      <c r="B71" s="52"/>
      <c r="C71" s="53"/>
      <c r="D71" s="54"/>
      <c r="E71" s="55"/>
      <c r="F71" s="56"/>
      <c r="G71" s="57"/>
      <c r="H71" s="58"/>
    </row>
  </sheetData>
  <mergeCells count="11">
    <mergeCell ref="F23:H23"/>
    <mergeCell ref="F4:H4"/>
    <mergeCell ref="F5:H5"/>
    <mergeCell ref="F8:H8"/>
    <mergeCell ref="F9:H9"/>
    <mergeCell ref="F17:H17"/>
    <mergeCell ref="F18:H18"/>
    <mergeCell ref="F19:H19"/>
    <mergeCell ref="F20:H20"/>
    <mergeCell ref="F21:H21"/>
    <mergeCell ref="F22:H22"/>
  </mergeCells>
  <phoneticPr fontId="1"/>
  <dataValidations disablePrompts="1" count="2">
    <dataValidation type="list" allowBlank="1" showInputMessage="1" showErrorMessage="1" sqref="F25" xr:uid="{F0B8BEC1-5DFE-45AA-9311-99B9BA93D469}">
      <formula1>OFFSET(Code_Point,0,1,,1)</formula1>
    </dataValidation>
    <dataValidation type="list" allowBlank="1" showInputMessage="1" showErrorMessage="1" sqref="F26" xr:uid="{B47DDBAD-00B0-463A-B5D1-A92E63067433}">
      <formula1>OFFSET(Code_Same_Score,0,1,,1)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9F044-F480-481C-9136-FDD646A305B2}">
  <sheetPr codeName="Sheet10"/>
  <dimension ref="A1:B9"/>
  <sheetViews>
    <sheetView workbookViewId="0">
      <selection activeCell="A10" sqref="A10"/>
    </sheetView>
  </sheetViews>
  <sheetFormatPr defaultRowHeight="13.5"/>
  <cols>
    <col min="1" max="1" width="20.625" customWidth="1"/>
    <col min="2" max="2" width="30.75" customWidth="1"/>
  </cols>
  <sheetData>
    <row r="1" spans="1:2" ht="28.5">
      <c r="A1" s="15" t="s">
        <v>61</v>
      </c>
    </row>
    <row r="2" spans="1:2">
      <c r="A2" t="s">
        <v>62</v>
      </c>
      <c r="B2" t="s">
        <v>63</v>
      </c>
    </row>
    <row r="3" spans="1:2">
      <c r="A3" t="s">
        <v>64</v>
      </c>
    </row>
    <row r="4" spans="1:2">
      <c r="A4" t="s">
        <v>65</v>
      </c>
    </row>
    <row r="5" spans="1:2">
      <c r="A5" t="s">
        <v>66</v>
      </c>
    </row>
    <row r="6" spans="1:2">
      <c r="A6" t="s">
        <v>67</v>
      </c>
    </row>
    <row r="7" spans="1:2">
      <c r="A7" t="s">
        <v>68</v>
      </c>
    </row>
    <row r="8" spans="1:2">
      <c r="A8" t="s">
        <v>69</v>
      </c>
    </row>
    <row r="9" spans="1:2">
      <c r="A9" t="s">
        <v>70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488C-D987-47FE-A90F-3AD53A1515A5}">
  <sheetPr codeName="EventListSheet"/>
  <dimension ref="A1:U5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8" sqref="D8"/>
    </sheetView>
  </sheetViews>
  <sheetFormatPr defaultRowHeight="13.5"/>
  <cols>
    <col min="4" max="4" width="25.125" customWidth="1"/>
    <col min="5" max="5" width="25" customWidth="1"/>
    <col min="6" max="6" width="10.75" customWidth="1"/>
    <col min="7" max="7" width="12.75" customWidth="1"/>
    <col min="8" max="8" width="15.5" bestFit="1" customWidth="1"/>
    <col min="9" max="9" width="10.75" customWidth="1"/>
    <col min="10" max="10" width="19" bestFit="1" customWidth="1"/>
    <col min="11" max="13" width="16.625" bestFit="1" customWidth="1"/>
    <col min="14" max="21" width="9" hidden="1" customWidth="1"/>
  </cols>
  <sheetData>
    <row r="1" spans="1:21" ht="28.5">
      <c r="A1" s="15" t="s">
        <v>357</v>
      </c>
    </row>
    <row r="3" spans="1:21" ht="27">
      <c r="A3" s="93" t="s">
        <v>87</v>
      </c>
      <c r="B3" s="94" t="s">
        <v>82</v>
      </c>
      <c r="C3" s="125" t="s">
        <v>83</v>
      </c>
      <c r="D3" s="125" t="s">
        <v>84</v>
      </c>
      <c r="E3" s="94" t="s">
        <v>86</v>
      </c>
      <c r="F3" s="125" t="s">
        <v>358</v>
      </c>
      <c r="G3" s="125" t="s">
        <v>88</v>
      </c>
      <c r="H3" s="126" t="s">
        <v>374</v>
      </c>
      <c r="I3" s="94" t="s">
        <v>89</v>
      </c>
      <c r="J3" s="95" t="s">
        <v>430</v>
      </c>
      <c r="K3" s="95" t="s">
        <v>431</v>
      </c>
      <c r="L3" s="95" t="s">
        <v>375</v>
      </c>
      <c r="M3" s="96" t="s">
        <v>376</v>
      </c>
      <c r="N3" s="78" t="s">
        <v>326</v>
      </c>
      <c r="O3" s="76" t="s">
        <v>90</v>
      </c>
      <c r="P3" s="76" t="s">
        <v>348</v>
      </c>
      <c r="Q3" s="76" t="s">
        <v>336</v>
      </c>
      <c r="R3" s="76" t="s">
        <v>359</v>
      </c>
      <c r="S3" s="76" t="s">
        <v>360</v>
      </c>
      <c r="T3" s="76" t="s">
        <v>361</v>
      </c>
      <c r="U3" s="77" t="s">
        <v>325</v>
      </c>
    </row>
    <row r="4" spans="1:21">
      <c r="A4" s="69">
        <f ca="1">IF(N4="","",MAX($A$3:OFFSET(A4,-1,0))+1)</f>
        <v>1</v>
      </c>
      <c r="B4" s="70"/>
      <c r="C4" s="70" t="s">
        <v>15</v>
      </c>
      <c r="D4" s="70" t="s">
        <v>135</v>
      </c>
      <c r="E4" s="70"/>
      <c r="F4" s="70" t="s">
        <v>154</v>
      </c>
      <c r="G4" s="70">
        <v>1</v>
      </c>
      <c r="H4" s="70">
        <v>20</v>
      </c>
      <c r="I4" s="74" t="s">
        <v>71</v>
      </c>
      <c r="J4" s="74" t="s">
        <v>16</v>
      </c>
      <c r="K4" s="101">
        <v>15</v>
      </c>
      <c r="L4" s="97">
        <v>120</v>
      </c>
      <c r="M4" s="98">
        <v>20</v>
      </c>
      <c r="N4" s="69" t="str">
        <f t="shared" ref="N4:N15" si="0">B4&amp;C4&amp;D4&amp;IF(E4="",""," (" &amp; E4&amp;")")</f>
        <v>男子3000m</v>
      </c>
      <c r="O4" s="71">
        <f t="shared" ref="O4:O43" ca="1" si="1">$A4</f>
        <v>1</v>
      </c>
      <c r="P4" s="71" t="str">
        <f t="shared" ref="P4:P35" ca="1" si="2">IF($F4="","",VLOOKUP($F4,OFFSET(Code_Category,0,1),2,FALSE))</f>
        <v>track-race-vba.xlsm</v>
      </c>
      <c r="Q4" s="71" t="str">
        <f t="shared" ref="Q4:Q35" ca="1" si="3">IF($F4="","",VLOOKUP($F4,OFFSET(Code_Category,0,1),3,FALSE))</f>
        <v>TRK.csv</v>
      </c>
      <c r="R4" s="71" t="str">
        <f t="shared" ref="R4:R35" ca="1" si="4">IF($F4="","",VLOOKUP($F4,OFFSET(Code_Category,0,1),4,FALSE))</f>
        <v>TRK</v>
      </c>
      <c r="S4" s="71">
        <f t="shared" ref="S4:S35" ca="1" si="5">IF($I4="",0,VLOOKUP($I4,OFFSET(Code_Wind,0,1),2,FALSE))</f>
        <v>0</v>
      </c>
      <c r="T4" s="71">
        <f t="shared" ref="T4:T35" ca="1" si="6">IF($J4="",0,VLOOKUP($J4,OFFSET(Code_Reaction,0,1),2,FALSE))</f>
        <v>0</v>
      </c>
      <c r="U4" s="72">
        <f t="shared" ref="U4:U8" ca="1" si="7">A4</f>
        <v>1</v>
      </c>
    </row>
    <row r="5" spans="1:21">
      <c r="A5" s="69">
        <f ca="1">IF(N5="","",MAX($A$3:OFFSET(A5,-1,0))+1)</f>
        <v>2</v>
      </c>
      <c r="B5" s="70"/>
      <c r="C5" s="70" t="s">
        <v>15</v>
      </c>
      <c r="D5" s="70" t="s">
        <v>104</v>
      </c>
      <c r="E5" s="70"/>
      <c r="F5" s="70" t="s">
        <v>154</v>
      </c>
      <c r="G5" s="70">
        <v>1</v>
      </c>
      <c r="H5" s="70">
        <v>20</v>
      </c>
      <c r="I5" s="74" t="s">
        <v>71</v>
      </c>
      <c r="J5" s="74" t="s">
        <v>16</v>
      </c>
      <c r="K5" s="101">
        <v>25</v>
      </c>
      <c r="L5" s="97">
        <v>120</v>
      </c>
      <c r="M5" s="98">
        <v>20</v>
      </c>
      <c r="N5" s="69" t="str">
        <f t="shared" si="0"/>
        <v>男子5000m</v>
      </c>
      <c r="O5" s="71">
        <f t="shared" ca="1" si="1"/>
        <v>2</v>
      </c>
      <c r="P5" s="71" t="str">
        <f t="shared" ca="1" si="2"/>
        <v>track-race-vba.xlsm</v>
      </c>
      <c r="Q5" s="71" t="str">
        <f t="shared" ca="1" si="3"/>
        <v>TRK.csv</v>
      </c>
      <c r="R5" s="71" t="str">
        <f t="shared" ca="1" si="4"/>
        <v>TRK</v>
      </c>
      <c r="S5" s="71">
        <f t="shared" ca="1" si="5"/>
        <v>0</v>
      </c>
      <c r="T5" s="71">
        <f t="shared" ca="1" si="6"/>
        <v>0</v>
      </c>
      <c r="U5" s="72">
        <f t="shared" ca="1" si="7"/>
        <v>2</v>
      </c>
    </row>
    <row r="6" spans="1:21">
      <c r="A6" s="69">
        <f ca="1">IF(N6="","",MAX($A$3:OFFSET(A6,-1,0))+1)</f>
        <v>3</v>
      </c>
      <c r="B6" s="70"/>
      <c r="C6" s="70" t="s">
        <v>18</v>
      </c>
      <c r="D6" s="70" t="s">
        <v>135</v>
      </c>
      <c r="E6" s="70"/>
      <c r="F6" s="70" t="s">
        <v>155</v>
      </c>
      <c r="G6" s="70">
        <v>1</v>
      </c>
      <c r="H6" s="70">
        <v>20</v>
      </c>
      <c r="I6" s="74" t="s">
        <v>16</v>
      </c>
      <c r="J6" s="74" t="s">
        <v>16</v>
      </c>
      <c r="K6" s="101">
        <v>15</v>
      </c>
      <c r="L6" s="97">
        <v>120</v>
      </c>
      <c r="M6" s="98">
        <v>20</v>
      </c>
      <c r="N6" s="69" t="str">
        <f t="shared" si="0"/>
        <v>女子3000m</v>
      </c>
      <c r="O6" s="71">
        <f t="shared" ca="1" si="1"/>
        <v>3</v>
      </c>
      <c r="P6" s="71" t="str">
        <f t="shared" ca="1" si="2"/>
        <v>track-race-vba.xlsm</v>
      </c>
      <c r="Q6" s="71" t="str">
        <f t="shared" ca="1" si="3"/>
        <v>TRK.csv</v>
      </c>
      <c r="R6" s="71" t="str">
        <f t="shared" ca="1" si="4"/>
        <v>TRK</v>
      </c>
      <c r="S6" s="71">
        <f t="shared" ca="1" si="5"/>
        <v>0</v>
      </c>
      <c r="T6" s="71">
        <f t="shared" ca="1" si="6"/>
        <v>0</v>
      </c>
      <c r="U6" s="72">
        <f t="shared" ca="1" si="7"/>
        <v>3</v>
      </c>
    </row>
    <row r="7" spans="1:21">
      <c r="A7" s="69">
        <f ca="1">IF(N7="","",MAX($A$3:OFFSET(A7,-1,0))+1)</f>
        <v>4</v>
      </c>
      <c r="B7" s="70"/>
      <c r="C7" s="70" t="s">
        <v>18</v>
      </c>
      <c r="D7" s="70" t="s">
        <v>104</v>
      </c>
      <c r="E7" s="70"/>
      <c r="F7" s="70" t="s">
        <v>155</v>
      </c>
      <c r="G7" s="70">
        <v>1</v>
      </c>
      <c r="H7" s="70">
        <v>20</v>
      </c>
      <c r="I7" s="74" t="s">
        <v>16</v>
      </c>
      <c r="J7" s="74" t="s">
        <v>16</v>
      </c>
      <c r="K7" s="101">
        <v>25</v>
      </c>
      <c r="L7" s="97">
        <v>120</v>
      </c>
      <c r="M7" s="98">
        <v>20</v>
      </c>
      <c r="N7" s="69" t="str">
        <f t="shared" si="0"/>
        <v>女子5000m</v>
      </c>
      <c r="O7" s="71">
        <f t="shared" ca="1" si="1"/>
        <v>4</v>
      </c>
      <c r="P7" s="71" t="str">
        <f t="shared" ca="1" si="2"/>
        <v>track-race-vba.xlsm</v>
      </c>
      <c r="Q7" s="71" t="str">
        <f t="shared" ca="1" si="3"/>
        <v>TRK.csv</v>
      </c>
      <c r="R7" s="71" t="str">
        <f t="shared" ca="1" si="4"/>
        <v>TRK</v>
      </c>
      <c r="S7" s="71">
        <f t="shared" ca="1" si="5"/>
        <v>0</v>
      </c>
      <c r="T7" s="71">
        <f t="shared" ca="1" si="6"/>
        <v>0</v>
      </c>
      <c r="U7" s="72">
        <f t="shared" ca="1" si="7"/>
        <v>4</v>
      </c>
    </row>
    <row r="8" spans="1:21">
      <c r="A8" s="69">
        <f ca="1">IF(N8="","",MAX($A$3:OFFSET(A8,-1,0))+1)</f>
        <v>5</v>
      </c>
      <c r="B8" s="70"/>
      <c r="C8" s="70" t="s">
        <v>15</v>
      </c>
      <c r="D8" s="70" t="s">
        <v>829</v>
      </c>
      <c r="E8" s="70"/>
      <c r="F8" s="70"/>
      <c r="G8" s="70"/>
      <c r="H8" s="70"/>
      <c r="I8" s="74"/>
      <c r="J8" s="74"/>
      <c r="K8" s="101"/>
      <c r="L8" s="97"/>
      <c r="M8" s="98"/>
      <c r="N8" s="69" t="str">
        <f t="shared" si="0"/>
        <v>男子10000m</v>
      </c>
      <c r="O8" s="71">
        <f t="shared" ca="1" si="1"/>
        <v>5</v>
      </c>
      <c r="P8" s="71" t="str">
        <f t="shared" ca="1" si="2"/>
        <v/>
      </c>
      <c r="Q8" s="71" t="str">
        <f t="shared" ca="1" si="3"/>
        <v/>
      </c>
      <c r="R8" s="71" t="str">
        <f t="shared" ca="1" si="4"/>
        <v/>
      </c>
      <c r="S8" s="71">
        <f t="shared" ca="1" si="5"/>
        <v>0</v>
      </c>
      <c r="T8" s="71">
        <f t="shared" ca="1" si="6"/>
        <v>0</v>
      </c>
      <c r="U8" s="72">
        <f t="shared" ca="1" si="7"/>
        <v>5</v>
      </c>
    </row>
    <row r="9" spans="1:21">
      <c r="A9" s="69" t="str">
        <f ca="1">IF(N9="","",MAX($A$3:OFFSET(A9,-1,0))+1)</f>
        <v/>
      </c>
      <c r="B9" s="70"/>
      <c r="C9" s="70"/>
      <c r="D9" s="70"/>
      <c r="E9" s="70"/>
      <c r="F9" s="70"/>
      <c r="G9" s="70"/>
      <c r="H9" s="70"/>
      <c r="I9" s="74"/>
      <c r="J9" s="74"/>
      <c r="K9" s="101"/>
      <c r="L9" s="97"/>
      <c r="M9" s="98"/>
      <c r="N9" s="69" t="str">
        <f t="shared" si="0"/>
        <v/>
      </c>
      <c r="O9" s="71" t="str">
        <f t="shared" ca="1" si="1"/>
        <v/>
      </c>
      <c r="P9" s="71" t="str">
        <f t="shared" ca="1" si="2"/>
        <v/>
      </c>
      <c r="Q9" s="71" t="str">
        <f t="shared" ca="1" si="3"/>
        <v/>
      </c>
      <c r="R9" s="71" t="str">
        <f t="shared" ca="1" si="4"/>
        <v/>
      </c>
      <c r="S9" s="71">
        <f t="shared" ca="1" si="5"/>
        <v>0</v>
      </c>
      <c r="T9" s="71">
        <f t="shared" ca="1" si="6"/>
        <v>0</v>
      </c>
      <c r="U9" s="72" t="str">
        <f t="shared" ref="U9:U52" ca="1" si="8">A9</f>
        <v/>
      </c>
    </row>
    <row r="10" spans="1:21">
      <c r="A10" s="69" t="str">
        <f ca="1">IF(N10="","",MAX($A$3:OFFSET(A10,-1,0))+1)</f>
        <v/>
      </c>
      <c r="B10" s="70"/>
      <c r="C10" s="70"/>
      <c r="D10" s="70"/>
      <c r="E10" s="70"/>
      <c r="F10" s="70"/>
      <c r="G10" s="70"/>
      <c r="H10" s="70"/>
      <c r="I10" s="74"/>
      <c r="J10" s="74"/>
      <c r="K10" s="101"/>
      <c r="L10" s="97"/>
      <c r="M10" s="98"/>
      <c r="N10" s="69" t="str">
        <f t="shared" si="0"/>
        <v/>
      </c>
      <c r="O10" s="71" t="str">
        <f t="shared" ca="1" si="1"/>
        <v/>
      </c>
      <c r="P10" s="71" t="str">
        <f t="shared" ca="1" si="2"/>
        <v/>
      </c>
      <c r="Q10" s="71" t="str">
        <f t="shared" ca="1" si="3"/>
        <v/>
      </c>
      <c r="R10" s="71" t="str">
        <f t="shared" ca="1" si="4"/>
        <v/>
      </c>
      <c r="S10" s="71">
        <f t="shared" ca="1" si="5"/>
        <v>0</v>
      </c>
      <c r="T10" s="71">
        <f t="shared" ca="1" si="6"/>
        <v>0</v>
      </c>
      <c r="U10" s="72" t="str">
        <f t="shared" ca="1" si="8"/>
        <v/>
      </c>
    </row>
    <row r="11" spans="1:21">
      <c r="A11" s="69" t="str">
        <f ca="1">IF(N11="","",MAX($A$3:OFFSET(A11,-1,0))+1)</f>
        <v/>
      </c>
      <c r="B11" s="70"/>
      <c r="C11" s="70"/>
      <c r="D11" s="70"/>
      <c r="E11" s="70"/>
      <c r="F11" s="70"/>
      <c r="G11" s="70"/>
      <c r="H11" s="70"/>
      <c r="I11" s="74"/>
      <c r="J11" s="74"/>
      <c r="K11" s="101"/>
      <c r="L11" s="97"/>
      <c r="M11" s="98"/>
      <c r="N11" s="69" t="str">
        <f t="shared" si="0"/>
        <v/>
      </c>
      <c r="O11" s="71" t="str">
        <f t="shared" ca="1" si="1"/>
        <v/>
      </c>
      <c r="P11" s="71" t="str">
        <f t="shared" ca="1" si="2"/>
        <v/>
      </c>
      <c r="Q11" s="71" t="str">
        <f t="shared" ca="1" si="3"/>
        <v/>
      </c>
      <c r="R11" s="71" t="str">
        <f t="shared" ca="1" si="4"/>
        <v/>
      </c>
      <c r="S11" s="71">
        <f t="shared" ca="1" si="5"/>
        <v>0</v>
      </c>
      <c r="T11" s="71">
        <f t="shared" ca="1" si="6"/>
        <v>0</v>
      </c>
      <c r="U11" s="72" t="str">
        <f t="shared" ca="1" si="8"/>
        <v/>
      </c>
    </row>
    <row r="12" spans="1:21">
      <c r="A12" s="69" t="str">
        <f ca="1">IF(N12="","",MAX($A$3:OFFSET(A12,-1,0))+1)</f>
        <v/>
      </c>
      <c r="B12" s="70"/>
      <c r="C12" s="70"/>
      <c r="D12" s="70"/>
      <c r="E12" s="70"/>
      <c r="F12" s="70"/>
      <c r="G12" s="70"/>
      <c r="H12" s="70"/>
      <c r="I12" s="74"/>
      <c r="J12" s="74"/>
      <c r="K12" s="101"/>
      <c r="L12" s="97"/>
      <c r="M12" s="98"/>
      <c r="N12" s="69" t="str">
        <f t="shared" si="0"/>
        <v/>
      </c>
      <c r="O12" s="71" t="str">
        <f t="shared" ca="1" si="1"/>
        <v/>
      </c>
      <c r="P12" s="71" t="str">
        <f t="shared" ca="1" si="2"/>
        <v/>
      </c>
      <c r="Q12" s="71" t="str">
        <f t="shared" ca="1" si="3"/>
        <v/>
      </c>
      <c r="R12" s="71" t="str">
        <f t="shared" ca="1" si="4"/>
        <v/>
      </c>
      <c r="S12" s="71">
        <f t="shared" ca="1" si="5"/>
        <v>0</v>
      </c>
      <c r="T12" s="71">
        <f t="shared" ca="1" si="6"/>
        <v>0</v>
      </c>
      <c r="U12" s="72" t="str">
        <f t="shared" ca="1" si="8"/>
        <v/>
      </c>
    </row>
    <row r="13" spans="1:21">
      <c r="A13" s="69" t="str">
        <f ca="1">IF(N13="","",MAX($A$3:OFFSET(A13,-1,0))+1)</f>
        <v/>
      </c>
      <c r="B13" s="70"/>
      <c r="C13" s="70"/>
      <c r="D13" s="70"/>
      <c r="E13" s="70"/>
      <c r="F13" s="70"/>
      <c r="G13" s="70"/>
      <c r="H13" s="70"/>
      <c r="I13" s="74"/>
      <c r="J13" s="74"/>
      <c r="K13" s="101"/>
      <c r="L13" s="97"/>
      <c r="M13" s="98"/>
      <c r="N13" s="69" t="str">
        <f t="shared" si="0"/>
        <v/>
      </c>
      <c r="O13" s="71" t="str">
        <f t="shared" ca="1" si="1"/>
        <v/>
      </c>
      <c r="P13" s="71" t="str">
        <f t="shared" ca="1" si="2"/>
        <v/>
      </c>
      <c r="Q13" s="71" t="str">
        <f t="shared" ca="1" si="3"/>
        <v/>
      </c>
      <c r="R13" s="71" t="str">
        <f t="shared" ca="1" si="4"/>
        <v/>
      </c>
      <c r="S13" s="71">
        <f t="shared" ca="1" si="5"/>
        <v>0</v>
      </c>
      <c r="T13" s="71">
        <f t="shared" ca="1" si="6"/>
        <v>0</v>
      </c>
      <c r="U13" s="72" t="str">
        <f t="shared" ca="1" si="8"/>
        <v/>
      </c>
    </row>
    <row r="14" spans="1:21">
      <c r="A14" s="69" t="str">
        <f ca="1">IF(N14="","",MAX($A$3:OFFSET(A14,-1,0))+1)</f>
        <v/>
      </c>
      <c r="B14" s="70"/>
      <c r="C14" s="70"/>
      <c r="D14" s="70"/>
      <c r="E14" s="70"/>
      <c r="F14" s="70"/>
      <c r="G14" s="70"/>
      <c r="H14" s="70"/>
      <c r="I14" s="74"/>
      <c r="J14" s="74"/>
      <c r="K14" s="101"/>
      <c r="L14" s="97"/>
      <c r="M14" s="98"/>
      <c r="N14" s="69" t="str">
        <f t="shared" si="0"/>
        <v/>
      </c>
      <c r="O14" s="71" t="str">
        <f t="shared" ca="1" si="1"/>
        <v/>
      </c>
      <c r="P14" s="71" t="str">
        <f t="shared" ca="1" si="2"/>
        <v/>
      </c>
      <c r="Q14" s="71" t="str">
        <f t="shared" ca="1" si="3"/>
        <v/>
      </c>
      <c r="R14" s="71" t="str">
        <f t="shared" ca="1" si="4"/>
        <v/>
      </c>
      <c r="S14" s="71">
        <f t="shared" ca="1" si="5"/>
        <v>0</v>
      </c>
      <c r="T14" s="71">
        <f t="shared" ca="1" si="6"/>
        <v>0</v>
      </c>
      <c r="U14" s="72" t="str">
        <f t="shared" ca="1" si="8"/>
        <v/>
      </c>
    </row>
    <row r="15" spans="1:21">
      <c r="A15" s="69" t="str">
        <f ca="1">IF(N15="","",MAX($A$3:OFFSET(A15,-1,0))+1)</f>
        <v/>
      </c>
      <c r="B15" s="70"/>
      <c r="C15" s="70"/>
      <c r="D15" s="70"/>
      <c r="E15" s="70"/>
      <c r="F15" s="70"/>
      <c r="G15" s="70"/>
      <c r="H15" s="70"/>
      <c r="I15" s="74"/>
      <c r="J15" s="74"/>
      <c r="K15" s="101"/>
      <c r="L15" s="97"/>
      <c r="M15" s="98"/>
      <c r="N15" s="65" t="str">
        <f t="shared" si="0"/>
        <v/>
      </c>
      <c r="O15" s="67" t="str">
        <f t="shared" ca="1" si="1"/>
        <v/>
      </c>
      <c r="P15" s="67" t="str">
        <f t="shared" ca="1" si="2"/>
        <v/>
      </c>
      <c r="Q15" s="67" t="str">
        <f t="shared" ca="1" si="3"/>
        <v/>
      </c>
      <c r="R15" s="67" t="str">
        <f t="shared" ca="1" si="4"/>
        <v/>
      </c>
      <c r="S15" s="67">
        <f t="shared" ca="1" si="5"/>
        <v>0</v>
      </c>
      <c r="T15" s="67">
        <f t="shared" ca="1" si="6"/>
        <v>0</v>
      </c>
      <c r="U15" s="68" t="str">
        <f t="shared" ca="1" si="8"/>
        <v/>
      </c>
    </row>
    <row r="16" spans="1:21">
      <c r="A16" s="69" t="str">
        <f ca="1">IF(N16="","",MAX($A$3:OFFSET(A16,-1,0))+1)</f>
        <v/>
      </c>
      <c r="B16" s="70"/>
      <c r="C16" s="70"/>
      <c r="D16" s="70"/>
      <c r="E16" s="70"/>
      <c r="F16" s="70"/>
      <c r="G16" s="70"/>
      <c r="H16" s="70"/>
      <c r="I16" s="74"/>
      <c r="J16" s="74"/>
      <c r="K16" s="101"/>
      <c r="L16" s="97"/>
      <c r="M16" s="98"/>
      <c r="N16" s="65" t="str">
        <f t="shared" ref="N16:N52" si="9">B16&amp;C16&amp;D16&amp;IF(E16="",""," (" &amp; E16&amp;")")</f>
        <v/>
      </c>
      <c r="O16" s="67" t="str">
        <f t="shared" ca="1" si="1"/>
        <v/>
      </c>
      <c r="P16" s="67" t="str">
        <f t="shared" ca="1" si="2"/>
        <v/>
      </c>
      <c r="Q16" s="67" t="str">
        <f t="shared" ca="1" si="3"/>
        <v/>
      </c>
      <c r="R16" s="67" t="str">
        <f t="shared" ca="1" si="4"/>
        <v/>
      </c>
      <c r="S16" s="67">
        <f t="shared" ca="1" si="5"/>
        <v>0</v>
      </c>
      <c r="T16" s="67">
        <f t="shared" ca="1" si="6"/>
        <v>0</v>
      </c>
      <c r="U16" s="68" t="str">
        <f t="shared" ca="1" si="8"/>
        <v/>
      </c>
    </row>
    <row r="17" spans="1:21">
      <c r="A17" s="69" t="str">
        <f ca="1">IF(N17="","",MAX($A$3:OFFSET(A17,-1,0))+1)</f>
        <v/>
      </c>
      <c r="B17" s="70"/>
      <c r="C17" s="70"/>
      <c r="D17" s="70"/>
      <c r="E17" s="70"/>
      <c r="F17" s="70"/>
      <c r="G17" s="70"/>
      <c r="H17" s="70"/>
      <c r="I17" s="74"/>
      <c r="J17" s="74"/>
      <c r="K17" s="101"/>
      <c r="L17" s="97"/>
      <c r="M17" s="98"/>
      <c r="N17" s="65" t="str">
        <f t="shared" si="9"/>
        <v/>
      </c>
      <c r="O17" s="67" t="str">
        <f t="shared" ca="1" si="1"/>
        <v/>
      </c>
      <c r="P17" s="67" t="str">
        <f t="shared" ca="1" si="2"/>
        <v/>
      </c>
      <c r="Q17" s="67" t="str">
        <f t="shared" ca="1" si="3"/>
        <v/>
      </c>
      <c r="R17" s="67" t="str">
        <f t="shared" ca="1" si="4"/>
        <v/>
      </c>
      <c r="S17" s="67">
        <f t="shared" ca="1" si="5"/>
        <v>0</v>
      </c>
      <c r="T17" s="67">
        <f t="shared" ca="1" si="6"/>
        <v>0</v>
      </c>
      <c r="U17" s="68" t="str">
        <f t="shared" ca="1" si="8"/>
        <v/>
      </c>
    </row>
    <row r="18" spans="1:21">
      <c r="A18" s="69" t="str">
        <f ca="1">IF(N18="","",MAX($A$3:OFFSET(A18,-1,0))+1)</f>
        <v/>
      </c>
      <c r="B18" s="70"/>
      <c r="C18" s="70"/>
      <c r="D18" s="70"/>
      <c r="E18" s="70"/>
      <c r="F18" s="70"/>
      <c r="G18" s="70"/>
      <c r="H18" s="70"/>
      <c r="I18" s="74"/>
      <c r="J18" s="74"/>
      <c r="K18" s="101"/>
      <c r="L18" s="97"/>
      <c r="M18" s="98"/>
      <c r="N18" s="65" t="str">
        <f t="shared" si="9"/>
        <v/>
      </c>
      <c r="O18" s="67" t="str">
        <f t="shared" ca="1" si="1"/>
        <v/>
      </c>
      <c r="P18" s="67" t="str">
        <f t="shared" ca="1" si="2"/>
        <v/>
      </c>
      <c r="Q18" s="67" t="str">
        <f t="shared" ca="1" si="3"/>
        <v/>
      </c>
      <c r="R18" s="67" t="str">
        <f t="shared" ca="1" si="4"/>
        <v/>
      </c>
      <c r="S18" s="67">
        <f t="shared" ca="1" si="5"/>
        <v>0</v>
      </c>
      <c r="T18" s="67">
        <f t="shared" ca="1" si="6"/>
        <v>0</v>
      </c>
      <c r="U18" s="68" t="str">
        <f t="shared" ca="1" si="8"/>
        <v/>
      </c>
    </row>
    <row r="19" spans="1:21">
      <c r="A19" s="69" t="str">
        <f ca="1">IF(N19="","",MAX($A$3:OFFSET(A19,-1,0))+1)</f>
        <v/>
      </c>
      <c r="B19" s="70"/>
      <c r="C19" s="70"/>
      <c r="D19" s="70"/>
      <c r="E19" s="70"/>
      <c r="F19" s="70"/>
      <c r="G19" s="70"/>
      <c r="H19" s="70"/>
      <c r="I19" s="74"/>
      <c r="J19" s="74"/>
      <c r="K19" s="101"/>
      <c r="L19" s="97"/>
      <c r="M19" s="98"/>
      <c r="N19" s="65" t="str">
        <f t="shared" si="9"/>
        <v/>
      </c>
      <c r="O19" s="67" t="str">
        <f t="shared" ca="1" si="1"/>
        <v/>
      </c>
      <c r="P19" s="67" t="str">
        <f t="shared" ca="1" si="2"/>
        <v/>
      </c>
      <c r="Q19" s="67" t="str">
        <f t="shared" ca="1" si="3"/>
        <v/>
      </c>
      <c r="R19" s="67" t="str">
        <f t="shared" ca="1" si="4"/>
        <v/>
      </c>
      <c r="S19" s="67">
        <f t="shared" ca="1" si="5"/>
        <v>0</v>
      </c>
      <c r="T19" s="67">
        <f t="shared" ca="1" si="6"/>
        <v>0</v>
      </c>
      <c r="U19" s="68" t="str">
        <f t="shared" ca="1" si="8"/>
        <v/>
      </c>
    </row>
    <row r="20" spans="1:21">
      <c r="A20" s="69" t="str">
        <f ca="1">IF(N20="","",MAX($A$3:OFFSET(A20,-1,0))+1)</f>
        <v/>
      </c>
      <c r="B20" s="70"/>
      <c r="C20" s="70"/>
      <c r="D20" s="70"/>
      <c r="E20" s="70"/>
      <c r="F20" s="70"/>
      <c r="G20" s="70"/>
      <c r="H20" s="70"/>
      <c r="I20" s="74"/>
      <c r="J20" s="74"/>
      <c r="K20" s="101"/>
      <c r="L20" s="97"/>
      <c r="M20" s="98"/>
      <c r="N20" s="65" t="str">
        <f t="shared" si="9"/>
        <v/>
      </c>
      <c r="O20" s="67" t="str">
        <f t="shared" ca="1" si="1"/>
        <v/>
      </c>
      <c r="P20" s="67" t="str">
        <f t="shared" ca="1" si="2"/>
        <v/>
      </c>
      <c r="Q20" s="67" t="str">
        <f t="shared" ca="1" si="3"/>
        <v/>
      </c>
      <c r="R20" s="67" t="str">
        <f t="shared" ca="1" si="4"/>
        <v/>
      </c>
      <c r="S20" s="67">
        <f t="shared" ca="1" si="5"/>
        <v>0</v>
      </c>
      <c r="T20" s="67">
        <f t="shared" ca="1" si="6"/>
        <v>0</v>
      </c>
      <c r="U20" s="68" t="str">
        <f t="shared" ca="1" si="8"/>
        <v/>
      </c>
    </row>
    <row r="21" spans="1:21">
      <c r="A21" s="69" t="str">
        <f ca="1">IF(N21="","",MAX($A$3:OFFSET(A21,-1,0))+1)</f>
        <v/>
      </c>
      <c r="B21" s="70"/>
      <c r="C21" s="70"/>
      <c r="D21" s="70"/>
      <c r="E21" s="70"/>
      <c r="F21" s="70"/>
      <c r="G21" s="70"/>
      <c r="H21" s="70"/>
      <c r="I21" s="74"/>
      <c r="J21" s="74"/>
      <c r="K21" s="101"/>
      <c r="L21" s="97"/>
      <c r="M21" s="98"/>
      <c r="N21" s="65" t="str">
        <f t="shared" si="9"/>
        <v/>
      </c>
      <c r="O21" s="67" t="str">
        <f t="shared" ca="1" si="1"/>
        <v/>
      </c>
      <c r="P21" s="67" t="str">
        <f t="shared" ca="1" si="2"/>
        <v/>
      </c>
      <c r="Q21" s="67" t="str">
        <f t="shared" ca="1" si="3"/>
        <v/>
      </c>
      <c r="R21" s="67" t="str">
        <f t="shared" ca="1" si="4"/>
        <v/>
      </c>
      <c r="S21" s="67">
        <f t="shared" ca="1" si="5"/>
        <v>0</v>
      </c>
      <c r="T21" s="67">
        <f t="shared" ca="1" si="6"/>
        <v>0</v>
      </c>
      <c r="U21" s="68" t="str">
        <f t="shared" ca="1" si="8"/>
        <v/>
      </c>
    </row>
    <row r="22" spans="1:21">
      <c r="A22" s="69" t="str">
        <f ca="1">IF(N22="","",MAX($A$3:OFFSET(A22,-1,0))+1)</f>
        <v/>
      </c>
      <c r="B22" s="70"/>
      <c r="C22" s="70"/>
      <c r="D22" s="70"/>
      <c r="E22" s="70"/>
      <c r="F22" s="70"/>
      <c r="G22" s="70"/>
      <c r="H22" s="70"/>
      <c r="I22" s="74"/>
      <c r="J22" s="74"/>
      <c r="K22" s="101"/>
      <c r="L22" s="97"/>
      <c r="M22" s="98"/>
      <c r="N22" s="65" t="str">
        <f t="shared" si="9"/>
        <v/>
      </c>
      <c r="O22" s="67" t="str">
        <f t="shared" ca="1" si="1"/>
        <v/>
      </c>
      <c r="P22" s="67" t="str">
        <f t="shared" ca="1" si="2"/>
        <v/>
      </c>
      <c r="Q22" s="67" t="str">
        <f t="shared" ca="1" si="3"/>
        <v/>
      </c>
      <c r="R22" s="67" t="str">
        <f t="shared" ca="1" si="4"/>
        <v/>
      </c>
      <c r="S22" s="67">
        <f t="shared" ca="1" si="5"/>
        <v>0</v>
      </c>
      <c r="T22" s="67">
        <f t="shared" ca="1" si="6"/>
        <v>0</v>
      </c>
      <c r="U22" s="68" t="str">
        <f t="shared" ca="1" si="8"/>
        <v/>
      </c>
    </row>
    <row r="23" spans="1:21">
      <c r="A23" s="69" t="str">
        <f ca="1">IF(N23="","",MAX($A$3:OFFSET(A23,-1,0))+1)</f>
        <v/>
      </c>
      <c r="B23" s="70"/>
      <c r="C23" s="70"/>
      <c r="D23" s="70"/>
      <c r="E23" s="70"/>
      <c r="F23" s="70"/>
      <c r="G23" s="70"/>
      <c r="H23" s="70"/>
      <c r="I23" s="74"/>
      <c r="J23" s="74"/>
      <c r="K23" s="101"/>
      <c r="L23" s="97"/>
      <c r="M23" s="98"/>
      <c r="N23" s="65" t="str">
        <f t="shared" si="9"/>
        <v/>
      </c>
      <c r="O23" s="67" t="str">
        <f t="shared" ca="1" si="1"/>
        <v/>
      </c>
      <c r="P23" s="67" t="str">
        <f t="shared" ca="1" si="2"/>
        <v/>
      </c>
      <c r="Q23" s="67" t="str">
        <f t="shared" ca="1" si="3"/>
        <v/>
      </c>
      <c r="R23" s="67" t="str">
        <f t="shared" ca="1" si="4"/>
        <v/>
      </c>
      <c r="S23" s="67">
        <f t="shared" ca="1" si="5"/>
        <v>0</v>
      </c>
      <c r="T23" s="67">
        <f t="shared" ca="1" si="6"/>
        <v>0</v>
      </c>
      <c r="U23" s="68" t="str">
        <f t="shared" ca="1" si="8"/>
        <v/>
      </c>
    </row>
    <row r="24" spans="1:21">
      <c r="A24" s="69" t="str">
        <f ca="1">IF(N24="","",MAX($A$3:OFFSET(A24,-1,0))+1)</f>
        <v/>
      </c>
      <c r="B24" s="70"/>
      <c r="C24" s="70"/>
      <c r="D24" s="70"/>
      <c r="E24" s="70"/>
      <c r="F24" s="70"/>
      <c r="G24" s="70"/>
      <c r="H24" s="70"/>
      <c r="I24" s="74"/>
      <c r="J24" s="74"/>
      <c r="K24" s="101"/>
      <c r="L24" s="97"/>
      <c r="M24" s="98"/>
      <c r="N24" s="65" t="str">
        <f t="shared" si="9"/>
        <v/>
      </c>
      <c r="O24" s="67" t="str">
        <f t="shared" ca="1" si="1"/>
        <v/>
      </c>
      <c r="P24" s="67" t="str">
        <f t="shared" ca="1" si="2"/>
        <v/>
      </c>
      <c r="Q24" s="67" t="str">
        <f t="shared" ca="1" si="3"/>
        <v/>
      </c>
      <c r="R24" s="67" t="str">
        <f t="shared" ca="1" si="4"/>
        <v/>
      </c>
      <c r="S24" s="67">
        <f t="shared" ca="1" si="5"/>
        <v>0</v>
      </c>
      <c r="T24" s="67">
        <f t="shared" ca="1" si="6"/>
        <v>0</v>
      </c>
      <c r="U24" s="68" t="str">
        <f t="shared" ca="1" si="8"/>
        <v/>
      </c>
    </row>
    <row r="25" spans="1:21">
      <c r="A25" s="69" t="str">
        <f ca="1">IF(N25="","",MAX($A$3:OFFSET(A25,-1,0))+1)</f>
        <v/>
      </c>
      <c r="B25" s="70"/>
      <c r="C25" s="70"/>
      <c r="D25" s="70"/>
      <c r="E25" s="70"/>
      <c r="F25" s="70"/>
      <c r="G25" s="70"/>
      <c r="H25" s="70"/>
      <c r="I25" s="74"/>
      <c r="J25" s="74"/>
      <c r="K25" s="101"/>
      <c r="L25" s="97"/>
      <c r="M25" s="98"/>
      <c r="N25" s="65" t="str">
        <f t="shared" si="9"/>
        <v/>
      </c>
      <c r="O25" s="67" t="str">
        <f t="shared" ca="1" si="1"/>
        <v/>
      </c>
      <c r="P25" s="67" t="str">
        <f t="shared" ca="1" si="2"/>
        <v/>
      </c>
      <c r="Q25" s="67" t="str">
        <f t="shared" ca="1" si="3"/>
        <v/>
      </c>
      <c r="R25" s="67" t="str">
        <f t="shared" ca="1" si="4"/>
        <v/>
      </c>
      <c r="S25" s="67">
        <f t="shared" ca="1" si="5"/>
        <v>0</v>
      </c>
      <c r="T25" s="67">
        <f t="shared" ca="1" si="6"/>
        <v>0</v>
      </c>
      <c r="U25" s="68" t="str">
        <f t="shared" ca="1" si="8"/>
        <v/>
      </c>
    </row>
    <row r="26" spans="1:21">
      <c r="A26" s="69" t="str">
        <f ca="1">IF(N26="","",MAX($A$3:OFFSET(A26,-1,0))+1)</f>
        <v/>
      </c>
      <c r="B26" s="70"/>
      <c r="C26" s="70"/>
      <c r="D26" s="70"/>
      <c r="E26" s="70"/>
      <c r="F26" s="70"/>
      <c r="G26" s="70"/>
      <c r="H26" s="70"/>
      <c r="I26" s="74"/>
      <c r="J26" s="74"/>
      <c r="K26" s="101"/>
      <c r="L26" s="97"/>
      <c r="M26" s="98"/>
      <c r="N26" s="65" t="str">
        <f t="shared" si="9"/>
        <v/>
      </c>
      <c r="O26" s="67" t="str">
        <f t="shared" ca="1" si="1"/>
        <v/>
      </c>
      <c r="P26" s="67" t="str">
        <f t="shared" ca="1" si="2"/>
        <v/>
      </c>
      <c r="Q26" s="67" t="str">
        <f t="shared" ca="1" si="3"/>
        <v/>
      </c>
      <c r="R26" s="67" t="str">
        <f t="shared" ca="1" si="4"/>
        <v/>
      </c>
      <c r="S26" s="67">
        <f t="shared" ca="1" si="5"/>
        <v>0</v>
      </c>
      <c r="T26" s="67">
        <f t="shared" ca="1" si="6"/>
        <v>0</v>
      </c>
      <c r="U26" s="68" t="str">
        <f t="shared" ca="1" si="8"/>
        <v/>
      </c>
    </row>
    <row r="27" spans="1:21">
      <c r="A27" s="69" t="str">
        <f ca="1">IF(N27="","",MAX($A$3:OFFSET(A27,-1,0))+1)</f>
        <v/>
      </c>
      <c r="B27" s="70"/>
      <c r="C27" s="70"/>
      <c r="D27" s="70"/>
      <c r="E27" s="70"/>
      <c r="F27" s="70"/>
      <c r="G27" s="70"/>
      <c r="H27" s="70"/>
      <c r="I27" s="74"/>
      <c r="J27" s="74"/>
      <c r="K27" s="101"/>
      <c r="L27" s="97"/>
      <c r="M27" s="98"/>
      <c r="N27" s="65" t="str">
        <f t="shared" si="9"/>
        <v/>
      </c>
      <c r="O27" s="67" t="str">
        <f t="shared" ca="1" si="1"/>
        <v/>
      </c>
      <c r="P27" s="67" t="str">
        <f t="shared" ca="1" si="2"/>
        <v/>
      </c>
      <c r="Q27" s="67" t="str">
        <f t="shared" ca="1" si="3"/>
        <v/>
      </c>
      <c r="R27" s="67" t="str">
        <f t="shared" ca="1" si="4"/>
        <v/>
      </c>
      <c r="S27" s="67">
        <f t="shared" ca="1" si="5"/>
        <v>0</v>
      </c>
      <c r="T27" s="67">
        <f t="shared" ca="1" si="6"/>
        <v>0</v>
      </c>
      <c r="U27" s="68" t="str">
        <f t="shared" ca="1" si="8"/>
        <v/>
      </c>
    </row>
    <row r="28" spans="1:21">
      <c r="A28" s="69" t="str">
        <f ca="1">IF(N28="","",MAX($A$3:OFFSET(A28,-1,0))+1)</f>
        <v/>
      </c>
      <c r="B28" s="70"/>
      <c r="C28" s="70"/>
      <c r="D28" s="70"/>
      <c r="E28" s="70"/>
      <c r="F28" s="70"/>
      <c r="G28" s="70"/>
      <c r="H28" s="70"/>
      <c r="I28" s="74"/>
      <c r="J28" s="74"/>
      <c r="K28" s="101"/>
      <c r="L28" s="97"/>
      <c r="M28" s="98"/>
      <c r="N28" s="65" t="str">
        <f t="shared" si="9"/>
        <v/>
      </c>
      <c r="O28" s="67" t="str">
        <f t="shared" ca="1" si="1"/>
        <v/>
      </c>
      <c r="P28" s="67" t="str">
        <f t="shared" ca="1" si="2"/>
        <v/>
      </c>
      <c r="Q28" s="67" t="str">
        <f t="shared" ca="1" si="3"/>
        <v/>
      </c>
      <c r="R28" s="67" t="str">
        <f t="shared" ca="1" si="4"/>
        <v/>
      </c>
      <c r="S28" s="67">
        <f t="shared" ca="1" si="5"/>
        <v>0</v>
      </c>
      <c r="T28" s="67">
        <f t="shared" ca="1" si="6"/>
        <v>0</v>
      </c>
      <c r="U28" s="68" t="str">
        <f t="shared" ca="1" si="8"/>
        <v/>
      </c>
    </row>
    <row r="29" spans="1:21">
      <c r="A29" s="69" t="str">
        <f ca="1">IF(N29="","",MAX($A$3:OFFSET(A29,-1,0))+1)</f>
        <v/>
      </c>
      <c r="B29" s="70"/>
      <c r="C29" s="70"/>
      <c r="D29" s="70"/>
      <c r="E29" s="70"/>
      <c r="F29" s="70"/>
      <c r="G29" s="70"/>
      <c r="H29" s="70"/>
      <c r="I29" s="74"/>
      <c r="J29" s="74"/>
      <c r="K29" s="101"/>
      <c r="L29" s="97"/>
      <c r="M29" s="98"/>
      <c r="N29" s="65" t="str">
        <f t="shared" si="9"/>
        <v/>
      </c>
      <c r="O29" s="67" t="str">
        <f t="shared" ca="1" si="1"/>
        <v/>
      </c>
      <c r="P29" s="67" t="str">
        <f t="shared" ca="1" si="2"/>
        <v/>
      </c>
      <c r="Q29" s="67" t="str">
        <f t="shared" ca="1" si="3"/>
        <v/>
      </c>
      <c r="R29" s="67" t="str">
        <f t="shared" ca="1" si="4"/>
        <v/>
      </c>
      <c r="S29" s="67">
        <f t="shared" ca="1" si="5"/>
        <v>0</v>
      </c>
      <c r="T29" s="67">
        <f t="shared" ca="1" si="6"/>
        <v>0</v>
      </c>
      <c r="U29" s="68" t="str">
        <f t="shared" ca="1" si="8"/>
        <v/>
      </c>
    </row>
    <row r="30" spans="1:21">
      <c r="A30" s="69" t="str">
        <f ca="1">IF(N30="","",MAX($A$3:OFFSET(A30,-1,0))+1)</f>
        <v/>
      </c>
      <c r="B30" s="70"/>
      <c r="C30" s="70"/>
      <c r="D30" s="70"/>
      <c r="E30" s="70"/>
      <c r="F30" s="70"/>
      <c r="G30" s="70"/>
      <c r="H30" s="70"/>
      <c r="I30" s="74"/>
      <c r="J30" s="74"/>
      <c r="K30" s="101"/>
      <c r="L30" s="97"/>
      <c r="M30" s="98"/>
      <c r="N30" s="65" t="str">
        <f t="shared" si="9"/>
        <v/>
      </c>
      <c r="O30" s="67" t="str">
        <f t="shared" ca="1" si="1"/>
        <v/>
      </c>
      <c r="P30" s="67" t="str">
        <f t="shared" ca="1" si="2"/>
        <v/>
      </c>
      <c r="Q30" s="67" t="str">
        <f t="shared" ca="1" si="3"/>
        <v/>
      </c>
      <c r="R30" s="67" t="str">
        <f t="shared" ca="1" si="4"/>
        <v/>
      </c>
      <c r="S30" s="67">
        <f t="shared" ca="1" si="5"/>
        <v>0</v>
      </c>
      <c r="T30" s="67">
        <f t="shared" ca="1" si="6"/>
        <v>0</v>
      </c>
      <c r="U30" s="68" t="str">
        <f t="shared" ca="1" si="8"/>
        <v/>
      </c>
    </row>
    <row r="31" spans="1:21">
      <c r="A31" s="69" t="str">
        <f ca="1">IF(N31="","",MAX($A$3:OFFSET(A31,-1,0))+1)</f>
        <v/>
      </c>
      <c r="B31" s="70"/>
      <c r="C31" s="70"/>
      <c r="D31" s="70"/>
      <c r="E31" s="70"/>
      <c r="F31" s="70"/>
      <c r="G31" s="70"/>
      <c r="H31" s="70"/>
      <c r="I31" s="74"/>
      <c r="J31" s="74"/>
      <c r="K31" s="101"/>
      <c r="L31" s="97"/>
      <c r="M31" s="98"/>
      <c r="N31" s="65" t="str">
        <f t="shared" si="9"/>
        <v/>
      </c>
      <c r="O31" s="67" t="str">
        <f t="shared" ca="1" si="1"/>
        <v/>
      </c>
      <c r="P31" s="67" t="str">
        <f t="shared" ca="1" si="2"/>
        <v/>
      </c>
      <c r="Q31" s="67" t="str">
        <f t="shared" ca="1" si="3"/>
        <v/>
      </c>
      <c r="R31" s="67" t="str">
        <f t="shared" ca="1" si="4"/>
        <v/>
      </c>
      <c r="S31" s="67">
        <f t="shared" ca="1" si="5"/>
        <v>0</v>
      </c>
      <c r="T31" s="67">
        <f t="shared" ca="1" si="6"/>
        <v>0</v>
      </c>
      <c r="U31" s="68" t="str">
        <f t="shared" ca="1" si="8"/>
        <v/>
      </c>
    </row>
    <row r="32" spans="1:21">
      <c r="A32" s="69" t="str">
        <f ca="1">IF(N32="","",MAX($A$3:OFFSET(A32,-1,0))+1)</f>
        <v/>
      </c>
      <c r="B32" s="70"/>
      <c r="C32" s="70"/>
      <c r="D32" s="70"/>
      <c r="E32" s="70"/>
      <c r="F32" s="70"/>
      <c r="G32" s="70"/>
      <c r="H32" s="70"/>
      <c r="I32" s="74"/>
      <c r="J32" s="74"/>
      <c r="K32" s="101"/>
      <c r="L32" s="97"/>
      <c r="M32" s="98"/>
      <c r="N32" s="65" t="str">
        <f t="shared" si="9"/>
        <v/>
      </c>
      <c r="O32" s="67" t="str">
        <f t="shared" ca="1" si="1"/>
        <v/>
      </c>
      <c r="P32" s="67" t="str">
        <f t="shared" ca="1" si="2"/>
        <v/>
      </c>
      <c r="Q32" s="67" t="str">
        <f t="shared" ca="1" si="3"/>
        <v/>
      </c>
      <c r="R32" s="67" t="str">
        <f t="shared" ca="1" si="4"/>
        <v/>
      </c>
      <c r="S32" s="67">
        <f t="shared" ca="1" si="5"/>
        <v>0</v>
      </c>
      <c r="T32" s="67">
        <f t="shared" ca="1" si="6"/>
        <v>0</v>
      </c>
      <c r="U32" s="68" t="str">
        <f t="shared" ca="1" si="8"/>
        <v/>
      </c>
    </row>
    <row r="33" spans="1:21">
      <c r="A33" s="69" t="str">
        <f ca="1">IF(N33="","",MAX($A$3:OFFSET(A33,-1,0))+1)</f>
        <v/>
      </c>
      <c r="B33" s="70"/>
      <c r="C33" s="70"/>
      <c r="D33" s="70"/>
      <c r="E33" s="70"/>
      <c r="F33" s="70"/>
      <c r="G33" s="70"/>
      <c r="H33" s="70"/>
      <c r="I33" s="74"/>
      <c r="J33" s="74"/>
      <c r="K33" s="101"/>
      <c r="L33" s="97"/>
      <c r="M33" s="98"/>
      <c r="N33" s="65" t="str">
        <f t="shared" si="9"/>
        <v/>
      </c>
      <c r="O33" s="67" t="str">
        <f t="shared" ca="1" si="1"/>
        <v/>
      </c>
      <c r="P33" s="67" t="str">
        <f t="shared" ca="1" si="2"/>
        <v/>
      </c>
      <c r="Q33" s="67" t="str">
        <f t="shared" ca="1" si="3"/>
        <v/>
      </c>
      <c r="R33" s="67" t="str">
        <f t="shared" ca="1" si="4"/>
        <v/>
      </c>
      <c r="S33" s="67">
        <f t="shared" ca="1" si="5"/>
        <v>0</v>
      </c>
      <c r="T33" s="67">
        <f t="shared" ca="1" si="6"/>
        <v>0</v>
      </c>
      <c r="U33" s="68" t="str">
        <f t="shared" ca="1" si="8"/>
        <v/>
      </c>
    </row>
    <row r="34" spans="1:21">
      <c r="A34" s="69" t="str">
        <f ca="1">IF(N34="","",MAX($A$3:OFFSET(A34,-1,0))+1)</f>
        <v/>
      </c>
      <c r="B34" s="70"/>
      <c r="C34" s="70"/>
      <c r="D34" s="70"/>
      <c r="E34" s="70"/>
      <c r="F34" s="70"/>
      <c r="G34" s="70"/>
      <c r="H34" s="70"/>
      <c r="I34" s="74"/>
      <c r="J34" s="74"/>
      <c r="K34" s="101"/>
      <c r="L34" s="97"/>
      <c r="M34" s="98"/>
      <c r="N34" s="65" t="str">
        <f t="shared" si="9"/>
        <v/>
      </c>
      <c r="O34" s="67" t="str">
        <f t="shared" ca="1" si="1"/>
        <v/>
      </c>
      <c r="P34" s="67" t="str">
        <f t="shared" ca="1" si="2"/>
        <v/>
      </c>
      <c r="Q34" s="67" t="str">
        <f t="shared" ca="1" si="3"/>
        <v/>
      </c>
      <c r="R34" s="67" t="str">
        <f t="shared" ca="1" si="4"/>
        <v/>
      </c>
      <c r="S34" s="67">
        <f t="shared" ca="1" si="5"/>
        <v>0</v>
      </c>
      <c r="T34" s="67">
        <f t="shared" ca="1" si="6"/>
        <v>0</v>
      </c>
      <c r="U34" s="68" t="str">
        <f t="shared" ca="1" si="8"/>
        <v/>
      </c>
    </row>
    <row r="35" spans="1:21">
      <c r="A35" s="69" t="str">
        <f ca="1">IF(N35="","",MAX($A$3:OFFSET(A35,-1,0))+1)</f>
        <v/>
      </c>
      <c r="B35" s="70"/>
      <c r="C35" s="70"/>
      <c r="D35" s="70"/>
      <c r="E35" s="70"/>
      <c r="F35" s="70"/>
      <c r="G35" s="70"/>
      <c r="H35" s="70"/>
      <c r="I35" s="74"/>
      <c r="J35" s="74"/>
      <c r="K35" s="101"/>
      <c r="L35" s="97"/>
      <c r="M35" s="98"/>
      <c r="N35" s="65" t="str">
        <f t="shared" si="9"/>
        <v/>
      </c>
      <c r="O35" s="67" t="str">
        <f t="shared" ca="1" si="1"/>
        <v/>
      </c>
      <c r="P35" s="67" t="str">
        <f t="shared" ca="1" si="2"/>
        <v/>
      </c>
      <c r="Q35" s="67" t="str">
        <f t="shared" ca="1" si="3"/>
        <v/>
      </c>
      <c r="R35" s="67" t="str">
        <f t="shared" ca="1" si="4"/>
        <v/>
      </c>
      <c r="S35" s="67">
        <f t="shared" ca="1" si="5"/>
        <v>0</v>
      </c>
      <c r="T35" s="67">
        <f t="shared" ca="1" si="6"/>
        <v>0</v>
      </c>
      <c r="U35" s="68" t="str">
        <f t="shared" ca="1" si="8"/>
        <v/>
      </c>
    </row>
    <row r="36" spans="1:21">
      <c r="A36" s="69" t="str">
        <f ca="1">IF(N36="","",MAX($A$3:OFFSET(A36,-1,0))+1)</f>
        <v/>
      </c>
      <c r="B36" s="70"/>
      <c r="C36" s="70"/>
      <c r="D36" s="70"/>
      <c r="E36" s="70"/>
      <c r="F36" s="70"/>
      <c r="G36" s="70"/>
      <c r="H36" s="70"/>
      <c r="I36" s="74"/>
      <c r="J36" s="74"/>
      <c r="K36" s="101"/>
      <c r="L36" s="97"/>
      <c r="M36" s="98"/>
      <c r="N36" s="65" t="str">
        <f t="shared" si="9"/>
        <v/>
      </c>
      <c r="O36" s="67" t="str">
        <f t="shared" ca="1" si="1"/>
        <v/>
      </c>
      <c r="P36" s="67" t="str">
        <f t="shared" ref="P36:P52" ca="1" si="10">IF($F36="","",VLOOKUP($F36,OFFSET(Code_Category,0,1),2,FALSE))</f>
        <v/>
      </c>
      <c r="Q36" s="67" t="str">
        <f t="shared" ref="Q36:Q52" ca="1" si="11">IF($F36="","",VLOOKUP($F36,OFFSET(Code_Category,0,1),3,FALSE))</f>
        <v/>
      </c>
      <c r="R36" s="67" t="str">
        <f t="shared" ref="R36:R52" ca="1" si="12">IF($F36="","",VLOOKUP($F36,OFFSET(Code_Category,0,1),4,FALSE))</f>
        <v/>
      </c>
      <c r="S36" s="67">
        <f t="shared" ref="S36:S52" ca="1" si="13">IF($I36="",0,VLOOKUP($I36,OFFSET(Code_Wind,0,1),2,FALSE))</f>
        <v>0</v>
      </c>
      <c r="T36" s="67">
        <f t="shared" ref="T36:T52" ca="1" si="14">IF($J36="",0,VLOOKUP($J36,OFFSET(Code_Reaction,0,1),2,FALSE))</f>
        <v>0</v>
      </c>
      <c r="U36" s="68" t="str">
        <f t="shared" ca="1" si="8"/>
        <v/>
      </c>
    </row>
    <row r="37" spans="1:21">
      <c r="A37" s="69" t="str">
        <f ca="1">IF(N37="","",MAX($A$3:OFFSET(A37,-1,0))+1)</f>
        <v/>
      </c>
      <c r="B37" s="70"/>
      <c r="C37" s="70"/>
      <c r="D37" s="70"/>
      <c r="E37" s="70"/>
      <c r="F37" s="70"/>
      <c r="G37" s="70"/>
      <c r="H37" s="70"/>
      <c r="I37" s="74"/>
      <c r="J37" s="74"/>
      <c r="K37" s="101"/>
      <c r="L37" s="97"/>
      <c r="M37" s="98"/>
      <c r="N37" s="65" t="str">
        <f t="shared" si="9"/>
        <v/>
      </c>
      <c r="O37" s="67" t="str">
        <f t="shared" ca="1" si="1"/>
        <v/>
      </c>
      <c r="P37" s="67" t="str">
        <f t="shared" ca="1" si="10"/>
        <v/>
      </c>
      <c r="Q37" s="67" t="str">
        <f t="shared" ca="1" si="11"/>
        <v/>
      </c>
      <c r="R37" s="67" t="str">
        <f t="shared" ca="1" si="12"/>
        <v/>
      </c>
      <c r="S37" s="67">
        <f t="shared" ca="1" si="13"/>
        <v>0</v>
      </c>
      <c r="T37" s="67">
        <f t="shared" ca="1" si="14"/>
        <v>0</v>
      </c>
      <c r="U37" s="68" t="str">
        <f t="shared" ca="1" si="8"/>
        <v/>
      </c>
    </row>
    <row r="38" spans="1:21">
      <c r="A38" s="69" t="str">
        <f ca="1">IF(N38="","",MAX($A$3:OFFSET(A38,-1,0))+1)</f>
        <v/>
      </c>
      <c r="B38" s="70"/>
      <c r="C38" s="70"/>
      <c r="D38" s="70"/>
      <c r="E38" s="70"/>
      <c r="F38" s="70"/>
      <c r="G38" s="70"/>
      <c r="H38" s="70"/>
      <c r="I38" s="74"/>
      <c r="J38" s="74"/>
      <c r="K38" s="101"/>
      <c r="L38" s="97"/>
      <c r="M38" s="98"/>
      <c r="N38" s="65" t="str">
        <f t="shared" si="9"/>
        <v/>
      </c>
      <c r="O38" s="67" t="str">
        <f t="shared" ca="1" si="1"/>
        <v/>
      </c>
      <c r="P38" s="67" t="str">
        <f t="shared" ca="1" si="10"/>
        <v/>
      </c>
      <c r="Q38" s="67" t="str">
        <f t="shared" ca="1" si="11"/>
        <v/>
      </c>
      <c r="R38" s="67" t="str">
        <f t="shared" ca="1" si="12"/>
        <v/>
      </c>
      <c r="S38" s="67">
        <f t="shared" ca="1" si="13"/>
        <v>0</v>
      </c>
      <c r="T38" s="67">
        <f t="shared" ca="1" si="14"/>
        <v>0</v>
      </c>
      <c r="U38" s="68" t="str">
        <f t="shared" ca="1" si="8"/>
        <v/>
      </c>
    </row>
    <row r="39" spans="1:21">
      <c r="A39" s="69" t="str">
        <f ca="1">IF(N39="","",MAX($A$3:OFFSET(A39,-1,0))+1)</f>
        <v/>
      </c>
      <c r="B39" s="70"/>
      <c r="C39" s="70"/>
      <c r="D39" s="70"/>
      <c r="E39" s="70"/>
      <c r="F39" s="70"/>
      <c r="G39" s="70"/>
      <c r="H39" s="70"/>
      <c r="I39" s="74"/>
      <c r="J39" s="74"/>
      <c r="K39" s="101"/>
      <c r="L39" s="97"/>
      <c r="M39" s="98"/>
      <c r="N39" s="65" t="str">
        <f t="shared" si="9"/>
        <v/>
      </c>
      <c r="O39" s="67" t="str">
        <f t="shared" ca="1" si="1"/>
        <v/>
      </c>
      <c r="P39" s="67" t="str">
        <f t="shared" ca="1" si="10"/>
        <v/>
      </c>
      <c r="Q39" s="67" t="str">
        <f t="shared" ca="1" si="11"/>
        <v/>
      </c>
      <c r="R39" s="67" t="str">
        <f t="shared" ca="1" si="12"/>
        <v/>
      </c>
      <c r="S39" s="67">
        <f t="shared" ca="1" si="13"/>
        <v>0</v>
      </c>
      <c r="T39" s="67">
        <f t="shared" ca="1" si="14"/>
        <v>0</v>
      </c>
      <c r="U39" s="68" t="str">
        <f t="shared" ca="1" si="8"/>
        <v/>
      </c>
    </row>
    <row r="40" spans="1:21">
      <c r="A40" s="69" t="str">
        <f ca="1">IF(N40="","",MAX($A$3:OFFSET(A40,-1,0))+1)</f>
        <v/>
      </c>
      <c r="B40" s="70"/>
      <c r="C40" s="70"/>
      <c r="D40" s="70"/>
      <c r="E40" s="70"/>
      <c r="F40" s="70"/>
      <c r="G40" s="70"/>
      <c r="H40" s="70"/>
      <c r="I40" s="74"/>
      <c r="J40" s="74"/>
      <c r="K40" s="101"/>
      <c r="L40" s="97"/>
      <c r="M40" s="98"/>
      <c r="N40" s="65" t="str">
        <f t="shared" si="9"/>
        <v/>
      </c>
      <c r="O40" s="67" t="str">
        <f t="shared" ca="1" si="1"/>
        <v/>
      </c>
      <c r="P40" s="67" t="str">
        <f t="shared" ca="1" si="10"/>
        <v/>
      </c>
      <c r="Q40" s="67" t="str">
        <f t="shared" ca="1" si="11"/>
        <v/>
      </c>
      <c r="R40" s="67" t="str">
        <f t="shared" ca="1" si="12"/>
        <v/>
      </c>
      <c r="S40" s="67">
        <f t="shared" ca="1" si="13"/>
        <v>0</v>
      </c>
      <c r="T40" s="67">
        <f t="shared" ca="1" si="14"/>
        <v>0</v>
      </c>
      <c r="U40" s="68" t="str">
        <f t="shared" ca="1" si="8"/>
        <v/>
      </c>
    </row>
    <row r="41" spans="1:21">
      <c r="A41" s="69" t="str">
        <f ca="1">IF(N41="","",MAX($A$3:OFFSET(A41,-1,0))+1)</f>
        <v/>
      </c>
      <c r="B41" s="70"/>
      <c r="C41" s="70"/>
      <c r="D41" s="70"/>
      <c r="E41" s="70"/>
      <c r="F41" s="70"/>
      <c r="G41" s="70"/>
      <c r="H41" s="70"/>
      <c r="I41" s="74"/>
      <c r="J41" s="74"/>
      <c r="K41" s="101"/>
      <c r="L41" s="97"/>
      <c r="M41" s="98"/>
      <c r="N41" s="65" t="str">
        <f t="shared" si="9"/>
        <v/>
      </c>
      <c r="O41" s="67" t="str">
        <f t="shared" ca="1" si="1"/>
        <v/>
      </c>
      <c r="P41" s="67" t="str">
        <f t="shared" ca="1" si="10"/>
        <v/>
      </c>
      <c r="Q41" s="67" t="str">
        <f t="shared" ca="1" si="11"/>
        <v/>
      </c>
      <c r="R41" s="67" t="str">
        <f t="shared" ca="1" si="12"/>
        <v/>
      </c>
      <c r="S41" s="67">
        <f t="shared" ca="1" si="13"/>
        <v>0</v>
      </c>
      <c r="T41" s="67">
        <f t="shared" ca="1" si="14"/>
        <v>0</v>
      </c>
      <c r="U41" s="68" t="str">
        <f t="shared" ca="1" si="8"/>
        <v/>
      </c>
    </row>
    <row r="42" spans="1:21">
      <c r="A42" s="69" t="str">
        <f ca="1">IF(N42="","",MAX($A$3:OFFSET(A42,-1,0))+1)</f>
        <v/>
      </c>
      <c r="B42" s="70"/>
      <c r="C42" s="70"/>
      <c r="D42" s="70"/>
      <c r="E42" s="70"/>
      <c r="F42" s="70"/>
      <c r="G42" s="70"/>
      <c r="H42" s="70"/>
      <c r="I42" s="74"/>
      <c r="J42" s="74"/>
      <c r="K42" s="101"/>
      <c r="L42" s="97"/>
      <c r="M42" s="98"/>
      <c r="N42" s="65" t="str">
        <f t="shared" si="9"/>
        <v/>
      </c>
      <c r="O42" s="67" t="str">
        <f t="shared" ca="1" si="1"/>
        <v/>
      </c>
      <c r="P42" s="67" t="str">
        <f t="shared" ca="1" si="10"/>
        <v/>
      </c>
      <c r="Q42" s="67" t="str">
        <f t="shared" ca="1" si="11"/>
        <v/>
      </c>
      <c r="R42" s="67" t="str">
        <f t="shared" ca="1" si="12"/>
        <v/>
      </c>
      <c r="S42" s="67">
        <f t="shared" ca="1" si="13"/>
        <v>0</v>
      </c>
      <c r="T42" s="67">
        <f t="shared" ca="1" si="14"/>
        <v>0</v>
      </c>
      <c r="U42" s="68" t="str">
        <f t="shared" ca="1" si="8"/>
        <v/>
      </c>
    </row>
    <row r="43" spans="1:21">
      <c r="A43" s="69" t="str">
        <f ca="1">IF(N43="","",MAX($A$3:OFFSET(A43,-1,0))+1)</f>
        <v/>
      </c>
      <c r="B43" s="70"/>
      <c r="C43" s="70"/>
      <c r="D43" s="70"/>
      <c r="E43" s="70"/>
      <c r="F43" s="70"/>
      <c r="G43" s="70"/>
      <c r="H43" s="70"/>
      <c r="I43" s="74"/>
      <c r="J43" s="74"/>
      <c r="K43" s="101"/>
      <c r="L43" s="97"/>
      <c r="M43" s="98"/>
      <c r="N43" s="65" t="str">
        <f t="shared" si="9"/>
        <v/>
      </c>
      <c r="O43" s="67" t="str">
        <f t="shared" ca="1" si="1"/>
        <v/>
      </c>
      <c r="P43" s="67" t="str">
        <f t="shared" ca="1" si="10"/>
        <v/>
      </c>
      <c r="Q43" s="67" t="str">
        <f t="shared" ca="1" si="11"/>
        <v/>
      </c>
      <c r="R43" s="67" t="str">
        <f t="shared" ca="1" si="12"/>
        <v/>
      </c>
      <c r="S43" s="67">
        <f t="shared" ca="1" si="13"/>
        <v>0</v>
      </c>
      <c r="T43" s="67">
        <f t="shared" ca="1" si="14"/>
        <v>0</v>
      </c>
      <c r="U43" s="68" t="str">
        <f t="shared" ca="1" si="8"/>
        <v/>
      </c>
    </row>
    <row r="44" spans="1:21">
      <c r="A44" s="69" t="str">
        <f ca="1">IF(N44="","",MAX($A$3:OFFSET(A44,-1,0))+1)</f>
        <v/>
      </c>
      <c r="B44" s="70"/>
      <c r="C44" s="70"/>
      <c r="D44" s="70"/>
      <c r="E44" s="70"/>
      <c r="F44" s="70"/>
      <c r="G44" s="70"/>
      <c r="H44" s="70"/>
      <c r="I44" s="74"/>
      <c r="J44" s="74"/>
      <c r="K44" s="101"/>
      <c r="L44" s="97"/>
      <c r="M44" s="98"/>
      <c r="N44" s="65" t="str">
        <f t="shared" si="9"/>
        <v/>
      </c>
      <c r="O44" s="67" t="str">
        <f t="shared" ref="O44:O52" ca="1" si="15">$A44</f>
        <v/>
      </c>
      <c r="P44" s="67" t="str">
        <f t="shared" ca="1" si="10"/>
        <v/>
      </c>
      <c r="Q44" s="67" t="str">
        <f t="shared" ca="1" si="11"/>
        <v/>
      </c>
      <c r="R44" s="67" t="str">
        <f t="shared" ca="1" si="12"/>
        <v/>
      </c>
      <c r="S44" s="67">
        <f t="shared" ca="1" si="13"/>
        <v>0</v>
      </c>
      <c r="T44" s="67">
        <f t="shared" ca="1" si="14"/>
        <v>0</v>
      </c>
      <c r="U44" s="68" t="str">
        <f t="shared" ca="1" si="8"/>
        <v/>
      </c>
    </row>
    <row r="45" spans="1:21">
      <c r="A45" s="69" t="str">
        <f ca="1">IF(N45="","",MAX($A$3:OFFSET(A45,-1,0))+1)</f>
        <v/>
      </c>
      <c r="B45" s="70"/>
      <c r="C45" s="70"/>
      <c r="D45" s="70"/>
      <c r="E45" s="70"/>
      <c r="F45" s="70"/>
      <c r="G45" s="70"/>
      <c r="H45" s="70"/>
      <c r="I45" s="74"/>
      <c r="J45" s="74"/>
      <c r="K45" s="101"/>
      <c r="L45" s="97"/>
      <c r="M45" s="98"/>
      <c r="N45" s="65" t="str">
        <f t="shared" si="9"/>
        <v/>
      </c>
      <c r="O45" s="67" t="str">
        <f t="shared" ca="1" si="15"/>
        <v/>
      </c>
      <c r="P45" s="67" t="str">
        <f t="shared" ca="1" si="10"/>
        <v/>
      </c>
      <c r="Q45" s="67" t="str">
        <f t="shared" ca="1" si="11"/>
        <v/>
      </c>
      <c r="R45" s="67" t="str">
        <f t="shared" ca="1" si="12"/>
        <v/>
      </c>
      <c r="S45" s="67">
        <f t="shared" ca="1" si="13"/>
        <v>0</v>
      </c>
      <c r="T45" s="67">
        <f t="shared" ca="1" si="14"/>
        <v>0</v>
      </c>
      <c r="U45" s="68" t="str">
        <f t="shared" ca="1" si="8"/>
        <v/>
      </c>
    </row>
    <row r="46" spans="1:21">
      <c r="A46" s="69" t="str">
        <f ca="1">IF(N46="","",MAX($A$3:OFFSET(A46,-1,0))+1)</f>
        <v/>
      </c>
      <c r="B46" s="70"/>
      <c r="C46" s="70"/>
      <c r="D46" s="70"/>
      <c r="E46" s="70"/>
      <c r="F46" s="70"/>
      <c r="G46" s="70"/>
      <c r="H46" s="70"/>
      <c r="I46" s="74"/>
      <c r="J46" s="74"/>
      <c r="K46" s="101"/>
      <c r="L46" s="97"/>
      <c r="M46" s="98"/>
      <c r="N46" s="65" t="str">
        <f t="shared" si="9"/>
        <v/>
      </c>
      <c r="O46" s="67" t="str">
        <f t="shared" ca="1" si="15"/>
        <v/>
      </c>
      <c r="P46" s="67" t="str">
        <f t="shared" ca="1" si="10"/>
        <v/>
      </c>
      <c r="Q46" s="67" t="str">
        <f t="shared" ca="1" si="11"/>
        <v/>
      </c>
      <c r="R46" s="67" t="str">
        <f t="shared" ca="1" si="12"/>
        <v/>
      </c>
      <c r="S46" s="67">
        <f t="shared" ca="1" si="13"/>
        <v>0</v>
      </c>
      <c r="T46" s="67">
        <f t="shared" ca="1" si="14"/>
        <v>0</v>
      </c>
      <c r="U46" s="68" t="str">
        <f t="shared" ca="1" si="8"/>
        <v/>
      </c>
    </row>
    <row r="47" spans="1:21">
      <c r="A47" s="69" t="str">
        <f ca="1">IF(N47="","",MAX($A$3:OFFSET(A47,-1,0))+1)</f>
        <v/>
      </c>
      <c r="B47" s="70"/>
      <c r="C47" s="70"/>
      <c r="D47" s="70"/>
      <c r="E47" s="70"/>
      <c r="F47" s="70"/>
      <c r="G47" s="70"/>
      <c r="H47" s="70"/>
      <c r="I47" s="74"/>
      <c r="J47" s="74"/>
      <c r="K47" s="101"/>
      <c r="L47" s="97"/>
      <c r="M47" s="98"/>
      <c r="N47" s="65" t="str">
        <f t="shared" si="9"/>
        <v/>
      </c>
      <c r="O47" s="67" t="str">
        <f t="shared" ca="1" si="15"/>
        <v/>
      </c>
      <c r="P47" s="67" t="str">
        <f t="shared" ca="1" si="10"/>
        <v/>
      </c>
      <c r="Q47" s="67" t="str">
        <f t="shared" ca="1" si="11"/>
        <v/>
      </c>
      <c r="R47" s="67" t="str">
        <f t="shared" ca="1" si="12"/>
        <v/>
      </c>
      <c r="S47" s="67">
        <f t="shared" ca="1" si="13"/>
        <v>0</v>
      </c>
      <c r="T47" s="67">
        <f t="shared" ca="1" si="14"/>
        <v>0</v>
      </c>
      <c r="U47" s="68" t="str">
        <f t="shared" ca="1" si="8"/>
        <v/>
      </c>
    </row>
    <row r="48" spans="1:21">
      <c r="A48" s="69" t="str">
        <f ca="1">IF(N48="","",MAX($A$3:OFFSET(A48,-1,0))+1)</f>
        <v/>
      </c>
      <c r="B48" s="70"/>
      <c r="C48" s="70"/>
      <c r="D48" s="70"/>
      <c r="E48" s="70"/>
      <c r="F48" s="70"/>
      <c r="G48" s="70"/>
      <c r="H48" s="70"/>
      <c r="I48" s="74"/>
      <c r="J48" s="74"/>
      <c r="K48" s="101"/>
      <c r="L48" s="97"/>
      <c r="M48" s="98"/>
      <c r="N48" s="65" t="str">
        <f t="shared" si="9"/>
        <v/>
      </c>
      <c r="O48" s="67" t="str">
        <f t="shared" ca="1" si="15"/>
        <v/>
      </c>
      <c r="P48" s="67" t="str">
        <f t="shared" ca="1" si="10"/>
        <v/>
      </c>
      <c r="Q48" s="67" t="str">
        <f t="shared" ca="1" si="11"/>
        <v/>
      </c>
      <c r="R48" s="67" t="str">
        <f t="shared" ca="1" si="12"/>
        <v/>
      </c>
      <c r="S48" s="67">
        <f t="shared" ca="1" si="13"/>
        <v>0</v>
      </c>
      <c r="T48" s="67">
        <f t="shared" ca="1" si="14"/>
        <v>0</v>
      </c>
      <c r="U48" s="68" t="str">
        <f t="shared" ca="1" si="8"/>
        <v/>
      </c>
    </row>
    <row r="49" spans="1:21">
      <c r="A49" s="69" t="str">
        <f ca="1">IF(N49="","",MAX($A$3:OFFSET(A49,-1,0))+1)</f>
        <v/>
      </c>
      <c r="B49" s="70"/>
      <c r="C49" s="70"/>
      <c r="D49" s="70"/>
      <c r="E49" s="70"/>
      <c r="F49" s="70"/>
      <c r="G49" s="70"/>
      <c r="H49" s="70"/>
      <c r="I49" s="74"/>
      <c r="J49" s="74"/>
      <c r="K49" s="101"/>
      <c r="L49" s="97"/>
      <c r="M49" s="98"/>
      <c r="N49" s="65" t="str">
        <f t="shared" si="9"/>
        <v/>
      </c>
      <c r="O49" s="67" t="str">
        <f t="shared" ca="1" si="15"/>
        <v/>
      </c>
      <c r="P49" s="67" t="str">
        <f t="shared" ca="1" si="10"/>
        <v/>
      </c>
      <c r="Q49" s="67" t="str">
        <f t="shared" ca="1" si="11"/>
        <v/>
      </c>
      <c r="R49" s="67" t="str">
        <f t="shared" ca="1" si="12"/>
        <v/>
      </c>
      <c r="S49" s="67">
        <f t="shared" ca="1" si="13"/>
        <v>0</v>
      </c>
      <c r="T49" s="67">
        <f t="shared" ca="1" si="14"/>
        <v>0</v>
      </c>
      <c r="U49" s="68" t="str">
        <f t="shared" ca="1" si="8"/>
        <v/>
      </c>
    </row>
    <row r="50" spans="1:21">
      <c r="A50" s="69" t="str">
        <f ca="1">IF(N50="","",MAX($A$3:OFFSET(A50,-1,0))+1)</f>
        <v/>
      </c>
      <c r="B50" s="70"/>
      <c r="C50" s="70"/>
      <c r="D50" s="70"/>
      <c r="E50" s="70"/>
      <c r="F50" s="70"/>
      <c r="G50" s="70"/>
      <c r="H50" s="70"/>
      <c r="I50" s="74"/>
      <c r="J50" s="74"/>
      <c r="K50" s="101"/>
      <c r="L50" s="97"/>
      <c r="M50" s="98"/>
      <c r="N50" s="65" t="str">
        <f t="shared" si="9"/>
        <v/>
      </c>
      <c r="O50" s="67" t="str">
        <f t="shared" ca="1" si="15"/>
        <v/>
      </c>
      <c r="P50" s="67" t="str">
        <f t="shared" ca="1" si="10"/>
        <v/>
      </c>
      <c r="Q50" s="67" t="str">
        <f t="shared" ca="1" si="11"/>
        <v/>
      </c>
      <c r="R50" s="67" t="str">
        <f t="shared" ca="1" si="12"/>
        <v/>
      </c>
      <c r="S50" s="67">
        <f t="shared" ca="1" si="13"/>
        <v>0</v>
      </c>
      <c r="T50" s="67">
        <f t="shared" ca="1" si="14"/>
        <v>0</v>
      </c>
      <c r="U50" s="68" t="str">
        <f t="shared" ca="1" si="8"/>
        <v/>
      </c>
    </row>
    <row r="51" spans="1:21">
      <c r="A51" s="69" t="str">
        <f ca="1">IF(N51="","",MAX($A$3:OFFSET(A51,-1,0))+1)</f>
        <v/>
      </c>
      <c r="B51" s="70"/>
      <c r="C51" s="70"/>
      <c r="D51" s="70"/>
      <c r="E51" s="70"/>
      <c r="F51" s="70"/>
      <c r="G51" s="70"/>
      <c r="H51" s="70"/>
      <c r="I51" s="74"/>
      <c r="J51" s="74"/>
      <c r="K51" s="101"/>
      <c r="L51" s="97"/>
      <c r="M51" s="98"/>
      <c r="N51" s="65" t="str">
        <f t="shared" si="9"/>
        <v/>
      </c>
      <c r="O51" s="67" t="str">
        <f t="shared" ca="1" si="15"/>
        <v/>
      </c>
      <c r="P51" s="67" t="str">
        <f t="shared" ca="1" si="10"/>
        <v/>
      </c>
      <c r="Q51" s="67" t="str">
        <f t="shared" ca="1" si="11"/>
        <v/>
      </c>
      <c r="R51" s="67" t="str">
        <f t="shared" ca="1" si="12"/>
        <v/>
      </c>
      <c r="S51" s="67">
        <f t="shared" ca="1" si="13"/>
        <v>0</v>
      </c>
      <c r="T51" s="67">
        <f t="shared" ca="1" si="14"/>
        <v>0</v>
      </c>
      <c r="U51" s="68" t="str">
        <f t="shared" ca="1" si="8"/>
        <v/>
      </c>
    </row>
    <row r="52" spans="1:21">
      <c r="A52" s="69" t="str">
        <f ca="1">IF(N52="","",MAX($A$3:OFFSET(A52,-1,0))+1)</f>
        <v/>
      </c>
      <c r="B52" s="70"/>
      <c r="C52" s="70"/>
      <c r="D52" s="70"/>
      <c r="E52" s="70"/>
      <c r="F52" s="70"/>
      <c r="G52" s="70"/>
      <c r="H52" s="70"/>
      <c r="I52" s="74"/>
      <c r="J52" s="74"/>
      <c r="K52" s="101"/>
      <c r="L52" s="97"/>
      <c r="M52" s="98"/>
      <c r="N52" s="65" t="str">
        <f t="shared" si="9"/>
        <v/>
      </c>
      <c r="O52" s="67" t="str">
        <f t="shared" ca="1" si="15"/>
        <v/>
      </c>
      <c r="P52" s="67" t="str">
        <f t="shared" ca="1" si="10"/>
        <v/>
      </c>
      <c r="Q52" s="67" t="str">
        <f t="shared" ca="1" si="11"/>
        <v/>
      </c>
      <c r="R52" s="67" t="str">
        <f t="shared" ca="1" si="12"/>
        <v/>
      </c>
      <c r="S52" s="67">
        <f t="shared" ca="1" si="13"/>
        <v>0</v>
      </c>
      <c r="T52" s="67">
        <f t="shared" ca="1" si="14"/>
        <v>0</v>
      </c>
      <c r="U52" s="68" t="str">
        <f t="shared" ca="1" si="8"/>
        <v/>
      </c>
    </row>
    <row r="53" spans="1:21">
      <c r="A53" s="65" t="str">
        <f ca="1">IF(N53="","",MAX($A$3:OFFSET(A53,-1,0))+1)</f>
        <v/>
      </c>
      <c r="B53" s="66"/>
      <c r="C53" s="66"/>
      <c r="D53" s="66"/>
      <c r="E53" s="66"/>
      <c r="F53" s="66"/>
      <c r="G53" s="66"/>
      <c r="H53" s="66"/>
      <c r="I53" s="75"/>
      <c r="J53" s="75"/>
      <c r="K53" s="102"/>
      <c r="L53" s="99"/>
      <c r="M53" s="100"/>
      <c r="N53" s="67" t="str">
        <f>B53&amp;C53&amp;D53&amp;IF(E53="",""," (" &amp; E53&amp;")")</f>
        <v/>
      </c>
      <c r="O53" s="67" t="str">
        <f ca="1">$A53</f>
        <v/>
      </c>
      <c r="P53" s="67" t="str">
        <f ca="1">IF($F53="","",VLOOKUP($F53,OFFSET(Code_Category,0,1),2,FALSE))</f>
        <v/>
      </c>
      <c r="Q53" s="67" t="str">
        <f ca="1">IF($F53="","",VLOOKUP($F53,OFFSET(Code_Category,0,1),3,FALSE))</f>
        <v/>
      </c>
      <c r="R53" s="67" t="str">
        <f ca="1">IF($F53="","",VLOOKUP($F53,OFFSET(Code_Category,0,1),4,FALSE))</f>
        <v/>
      </c>
      <c r="S53" s="67">
        <f ca="1">IF($I53="",0,VLOOKUP($I53,OFFSET(Code_Wind,0,1),2,FALSE))</f>
        <v>0</v>
      </c>
      <c r="T53" s="67">
        <f ca="1">IF($J53="",0,VLOOKUP($J53,OFFSET(Code_Reaction,0,1),2,FALSE))</f>
        <v>0</v>
      </c>
      <c r="U53" s="68" t="str">
        <f ca="1">A53</f>
        <v/>
      </c>
    </row>
  </sheetData>
  <phoneticPr fontId="1"/>
  <dataValidations count="5">
    <dataValidation type="list" allowBlank="1" showInputMessage="1" showErrorMessage="1" sqref="C4:C53" xr:uid="{8BD8DC76-94D6-4ED3-A93E-79651759FE79}">
      <formula1>OFFSET(Code_Sex,0,1,,1)</formula1>
    </dataValidation>
    <dataValidation type="list" errorStyle="information" allowBlank="1" showInputMessage="1" sqref="D4:D53" xr:uid="{A0B50B2D-26DD-4B3D-9766-E84768F87F73}">
      <formula1>OFFSET(Code_Event,0,1,ROWS(Code_Event)-1,1)</formula1>
    </dataValidation>
    <dataValidation type="list" allowBlank="1" showInputMessage="1" showErrorMessage="1" sqref="I4:I53" xr:uid="{2321B39C-6FBC-4668-BB91-11B5C4CC5376}">
      <formula1>OFFSET(Code_Wind,0,1,,1)</formula1>
    </dataValidation>
    <dataValidation type="list" allowBlank="1" showInputMessage="1" showErrorMessage="1" sqref="F4:F53" xr:uid="{80CE9D2A-4139-4313-9B0D-754E1EEF63D6}">
      <formula1>OFFSET(Code_Category,0,1,,1)</formula1>
    </dataValidation>
    <dataValidation type="list" allowBlank="1" showInputMessage="1" showErrorMessage="1" sqref="J4:J53" xr:uid="{AAA9515F-1299-4087-B37A-D7C09F3B5D06}">
      <formula1>OFFSET(Code_Reaction,0,1,,1)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FED8-AAE4-414B-BE78-99FE7E8054B6}">
  <sheetPr codeName="RoundListSheet"/>
  <dimension ref="A1:R15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RowHeight="13.5"/>
  <cols>
    <col min="2" max="2" width="25.75" customWidth="1"/>
    <col min="3" max="3" width="12.75" customWidth="1"/>
    <col min="4" max="4" width="20.625" customWidth="1"/>
    <col min="5" max="5" width="18.75" customWidth="1"/>
    <col min="6" max="7" width="10" bestFit="1" customWidth="1"/>
    <col min="8" max="8" width="16.625" bestFit="1" customWidth="1"/>
    <col min="9" max="9" width="19" bestFit="1" customWidth="1"/>
    <col min="10" max="10" width="8" bestFit="1" customWidth="1"/>
    <col min="11" max="11" width="12.75" customWidth="1"/>
    <col min="12" max="12" width="8" bestFit="1" customWidth="1"/>
    <col min="13" max="13" width="16.625" customWidth="1"/>
    <col min="14" max="14" width="18.75" customWidth="1"/>
    <col min="15" max="15" width="12.125" bestFit="1" customWidth="1"/>
    <col min="16" max="18" width="9" hidden="1" customWidth="1"/>
  </cols>
  <sheetData>
    <row r="1" spans="1:18" ht="28.5">
      <c r="A1" s="15" t="s">
        <v>349</v>
      </c>
    </row>
    <row r="3" spans="1:18" ht="27">
      <c r="A3" s="79" t="s">
        <v>362</v>
      </c>
      <c r="B3" s="123" t="s">
        <v>84</v>
      </c>
      <c r="C3" s="123" t="s">
        <v>350</v>
      </c>
      <c r="D3" s="123" t="s">
        <v>351</v>
      </c>
      <c r="E3" s="123" t="s">
        <v>352</v>
      </c>
      <c r="F3" s="124" t="s">
        <v>394</v>
      </c>
      <c r="G3" s="123" t="s">
        <v>353</v>
      </c>
      <c r="H3" s="123" t="s">
        <v>354</v>
      </c>
      <c r="I3" s="123" t="s">
        <v>355</v>
      </c>
      <c r="J3" s="80" t="s">
        <v>370</v>
      </c>
      <c r="K3" s="80" t="s">
        <v>372</v>
      </c>
      <c r="L3" s="81" t="s">
        <v>371</v>
      </c>
      <c r="M3" s="80" t="s">
        <v>373</v>
      </c>
      <c r="N3" s="82" t="s">
        <v>378</v>
      </c>
      <c r="O3" s="84" t="s">
        <v>377</v>
      </c>
      <c r="P3" s="79" t="s">
        <v>323</v>
      </c>
      <c r="Q3" s="80" t="s">
        <v>324</v>
      </c>
      <c r="R3" s="83" t="s">
        <v>87</v>
      </c>
    </row>
    <row r="4" spans="1:18">
      <c r="A4" s="61" t="str">
        <f t="shared" ref="A4:A6" ca="1" si="0">IF($B4="","",VLOOKUP($B4,OFFSET(INDIRECT("CompetitionEventList"),0,13),2,FALSE))</f>
        <v/>
      </c>
      <c r="B4" s="62"/>
      <c r="C4" s="62"/>
      <c r="D4" s="62"/>
      <c r="E4" s="87"/>
      <c r="F4" s="62"/>
      <c r="G4" s="62"/>
      <c r="H4" s="62"/>
      <c r="I4" s="62"/>
      <c r="J4" s="62"/>
      <c r="K4" s="62"/>
      <c r="L4" s="62"/>
      <c r="M4" s="62"/>
      <c r="N4" s="87"/>
      <c r="O4" s="85"/>
      <c r="P4" s="61" t="str">
        <f t="shared" ref="P4:P13" ca="1" si="1">IF($H4="","",VLOOKUP($H4,OFFSET(Code_Group_Strategy,0,1),2,FALSE))</f>
        <v/>
      </c>
      <c r="Q4" s="63" t="str">
        <f t="shared" ref="Q4:Q13" ca="1" si="2">IF($I4="","",VLOOKUP($I4,OFFSET(Code_Lane_Strategy,0,1),2,FALSE))</f>
        <v/>
      </c>
      <c r="R4" s="64" t="s">
        <v>382</v>
      </c>
    </row>
    <row r="5" spans="1:18">
      <c r="A5" s="69">
        <f t="shared" ca="1" si="0"/>
        <v>3</v>
      </c>
      <c r="B5" s="70" t="s">
        <v>380</v>
      </c>
      <c r="C5" s="70">
        <v>1</v>
      </c>
      <c r="D5" s="70" t="s">
        <v>379</v>
      </c>
      <c r="E5" s="90">
        <v>45248.631944444445</v>
      </c>
      <c r="F5" s="70">
        <v>9</v>
      </c>
      <c r="G5" s="70">
        <v>1</v>
      </c>
      <c r="H5" s="70" t="s">
        <v>365</v>
      </c>
      <c r="I5" s="70" t="s">
        <v>364</v>
      </c>
      <c r="J5" s="70"/>
      <c r="K5" s="70"/>
      <c r="L5" s="70"/>
      <c r="M5" s="70" t="s">
        <v>155</v>
      </c>
      <c r="N5" s="90">
        <v>45248.642361111073</v>
      </c>
      <c r="O5" s="89">
        <v>1</v>
      </c>
      <c r="P5" s="69">
        <f t="shared" ca="1" si="1"/>
        <v>3</v>
      </c>
      <c r="Q5" s="71">
        <f t="shared" ca="1" si="2"/>
        <v>2</v>
      </c>
      <c r="R5" s="72" t="s">
        <v>383</v>
      </c>
    </row>
    <row r="6" spans="1:18">
      <c r="A6" s="69">
        <f t="shared" ca="1" si="0"/>
        <v>2</v>
      </c>
      <c r="B6" s="70" t="s">
        <v>381</v>
      </c>
      <c r="C6" s="70">
        <v>1</v>
      </c>
      <c r="D6" s="70" t="s">
        <v>379</v>
      </c>
      <c r="E6" s="90">
        <v>45248.614583333336</v>
      </c>
      <c r="F6" s="70">
        <v>33</v>
      </c>
      <c r="G6" s="70">
        <v>2</v>
      </c>
      <c r="H6" s="70" t="s">
        <v>365</v>
      </c>
      <c r="I6" s="70" t="s">
        <v>364</v>
      </c>
      <c r="J6" s="70"/>
      <c r="K6" s="70"/>
      <c r="L6" s="70"/>
      <c r="M6" s="70" t="s">
        <v>155</v>
      </c>
      <c r="N6" s="90">
        <v>45248.649305555526</v>
      </c>
      <c r="O6" s="89">
        <v>1</v>
      </c>
      <c r="P6" s="69">
        <f t="shared" ca="1" si="1"/>
        <v>3</v>
      </c>
      <c r="Q6" s="71">
        <f t="shared" ca="1" si="2"/>
        <v>2</v>
      </c>
      <c r="R6" s="72" t="s">
        <v>384</v>
      </c>
    </row>
    <row r="7" spans="1:18">
      <c r="A7" s="69" t="str">
        <f t="shared" ref="A7:A12" ca="1" si="3">IF($B7="","",VLOOKUP($B7,OFFSET(INDIRECT("CompetitionEventList"),0,13),2,FALSE))</f>
        <v/>
      </c>
      <c r="B7" s="70"/>
      <c r="C7" s="70"/>
      <c r="D7" s="70"/>
      <c r="E7" s="90"/>
      <c r="F7" s="70"/>
      <c r="G7" s="70"/>
      <c r="H7" s="70"/>
      <c r="I7" s="70"/>
      <c r="J7" s="70"/>
      <c r="K7" s="70"/>
      <c r="L7" s="70"/>
      <c r="M7" s="70"/>
      <c r="N7" s="90"/>
      <c r="O7" s="89"/>
      <c r="P7" s="71" t="str">
        <f t="shared" ca="1" si="1"/>
        <v/>
      </c>
      <c r="Q7" s="71" t="str">
        <f t="shared" ca="1" si="2"/>
        <v/>
      </c>
      <c r="R7" s="72" t="s">
        <v>385</v>
      </c>
    </row>
    <row r="8" spans="1:18">
      <c r="A8" s="69" t="str">
        <f t="shared" ca="1" si="3"/>
        <v/>
      </c>
      <c r="B8" s="70"/>
      <c r="C8" s="70"/>
      <c r="D8" s="70"/>
      <c r="E8" s="90"/>
      <c r="F8" s="70"/>
      <c r="G8" s="70"/>
      <c r="H8" s="70"/>
      <c r="I8" s="70"/>
      <c r="J8" s="70"/>
      <c r="K8" s="70"/>
      <c r="L8" s="70"/>
      <c r="M8" s="70"/>
      <c r="N8" s="90"/>
      <c r="O8" s="89"/>
      <c r="P8" s="71" t="str">
        <f t="shared" ca="1" si="1"/>
        <v/>
      </c>
      <c r="Q8" s="71" t="str">
        <f t="shared" ca="1" si="2"/>
        <v/>
      </c>
      <c r="R8" s="72" t="s">
        <v>386</v>
      </c>
    </row>
    <row r="9" spans="1:18">
      <c r="A9" s="69" t="str">
        <f t="shared" ca="1" si="3"/>
        <v/>
      </c>
      <c r="B9" s="70"/>
      <c r="C9" s="70"/>
      <c r="D9" s="70"/>
      <c r="E9" s="90"/>
      <c r="F9" s="70"/>
      <c r="G9" s="70"/>
      <c r="H9" s="70"/>
      <c r="I9" s="70"/>
      <c r="J9" s="70"/>
      <c r="K9" s="70"/>
      <c r="L9" s="70"/>
      <c r="M9" s="70"/>
      <c r="N9" s="90"/>
      <c r="O9" s="89"/>
      <c r="P9" s="71" t="str">
        <f t="shared" ca="1" si="1"/>
        <v/>
      </c>
      <c r="Q9" s="71" t="str">
        <f t="shared" ca="1" si="2"/>
        <v/>
      </c>
      <c r="R9" s="72" t="s">
        <v>387</v>
      </c>
    </row>
    <row r="10" spans="1:18">
      <c r="A10" s="69" t="str">
        <f t="shared" ca="1" si="3"/>
        <v/>
      </c>
      <c r="B10" s="70"/>
      <c r="C10" s="70"/>
      <c r="D10" s="70"/>
      <c r="E10" s="90"/>
      <c r="F10" s="70"/>
      <c r="G10" s="70"/>
      <c r="H10" s="70"/>
      <c r="I10" s="70"/>
      <c r="J10" s="70"/>
      <c r="K10" s="70"/>
      <c r="L10" s="70"/>
      <c r="M10" s="70"/>
      <c r="N10" s="90"/>
      <c r="O10" s="89"/>
      <c r="P10" s="71" t="str">
        <f t="shared" ca="1" si="1"/>
        <v/>
      </c>
      <c r="Q10" s="71" t="str">
        <f t="shared" ca="1" si="2"/>
        <v/>
      </c>
      <c r="R10" s="72" t="s">
        <v>388</v>
      </c>
    </row>
    <row r="11" spans="1:18">
      <c r="A11" s="69" t="str">
        <f t="shared" ca="1" si="3"/>
        <v/>
      </c>
      <c r="B11" s="70"/>
      <c r="C11" s="70"/>
      <c r="D11" s="70"/>
      <c r="E11" s="90"/>
      <c r="F11" s="70"/>
      <c r="G11" s="70"/>
      <c r="H11" s="70"/>
      <c r="I11" s="70"/>
      <c r="J11" s="70"/>
      <c r="K11" s="70"/>
      <c r="L11" s="70"/>
      <c r="M11" s="70"/>
      <c r="N11" s="90"/>
      <c r="O11" s="89"/>
      <c r="P11" s="71" t="str">
        <f t="shared" ca="1" si="1"/>
        <v/>
      </c>
      <c r="Q11" s="71" t="str">
        <f t="shared" ca="1" si="2"/>
        <v/>
      </c>
      <c r="R11" s="72" t="s">
        <v>389</v>
      </c>
    </row>
    <row r="12" spans="1:18">
      <c r="A12" s="69" t="str">
        <f t="shared" ca="1" si="3"/>
        <v/>
      </c>
      <c r="B12" s="70"/>
      <c r="C12" s="70"/>
      <c r="D12" s="70"/>
      <c r="E12" s="90"/>
      <c r="F12" s="70"/>
      <c r="G12" s="70"/>
      <c r="H12" s="70"/>
      <c r="I12" s="70"/>
      <c r="J12" s="70"/>
      <c r="K12" s="70"/>
      <c r="L12" s="70"/>
      <c r="M12" s="70"/>
      <c r="N12" s="90"/>
      <c r="O12" s="89"/>
      <c r="P12" s="71" t="str">
        <f t="shared" ca="1" si="1"/>
        <v/>
      </c>
      <c r="Q12" s="71" t="str">
        <f t="shared" ca="1" si="2"/>
        <v/>
      </c>
      <c r="R12" s="72" t="s">
        <v>390</v>
      </c>
    </row>
    <row r="13" spans="1:18">
      <c r="A13" s="65" t="str">
        <f ca="1">IF($B13="","",VLOOKUP($B13,OFFSET(INDIRECT("CompetitionEventList"),0,13),2,FALSE))</f>
        <v/>
      </c>
      <c r="B13" s="66"/>
      <c r="C13" s="66"/>
      <c r="D13" s="70"/>
      <c r="E13" s="90"/>
      <c r="F13" s="66"/>
      <c r="G13" s="66"/>
      <c r="H13" s="66"/>
      <c r="I13" s="66"/>
      <c r="J13" s="66"/>
      <c r="K13" s="66"/>
      <c r="L13" s="66"/>
      <c r="M13" s="66"/>
      <c r="N13" s="88"/>
      <c r="O13" s="86"/>
      <c r="P13" s="67" t="str">
        <f t="shared" ca="1" si="1"/>
        <v/>
      </c>
      <c r="Q13" s="67" t="str">
        <f t="shared" ca="1" si="2"/>
        <v/>
      </c>
      <c r="R13" s="68"/>
    </row>
    <row r="14" spans="1:18">
      <c r="A14" s="65" t="str">
        <f ca="1">IF($B14="","",VLOOKUP($B14,OFFSET(INDIRECT("CompetitionEventList"),0,13),2,FALSE))</f>
        <v/>
      </c>
      <c r="B14" s="66"/>
      <c r="C14" s="66"/>
      <c r="D14" s="66"/>
      <c r="E14" s="88"/>
      <c r="F14" s="66"/>
      <c r="G14" s="66"/>
      <c r="H14" s="66"/>
      <c r="I14" s="66"/>
      <c r="J14" s="66"/>
      <c r="K14" s="66"/>
      <c r="L14" s="66"/>
      <c r="M14" s="66"/>
      <c r="N14" s="88"/>
      <c r="O14" s="86"/>
      <c r="P14" s="67" t="str">
        <f ca="1">IF($H14="","",VLOOKUP($H14,OFFSET(Code_Group_Strategy,0,1),2,FALSE))</f>
        <v/>
      </c>
      <c r="Q14" s="67" t="str">
        <f ca="1">IF($I14="","",VLOOKUP($I14,OFFSET(Code_Lane_Strategy,0,1),2,FALSE))</f>
        <v/>
      </c>
      <c r="R14" s="68"/>
    </row>
    <row r="15" spans="1:18">
      <c r="A15" s="65" t="str">
        <f ca="1">IF($B15="","",VLOOKUP($B15,OFFSET(INDIRECT("CompetitionEventList"),0,13),2,FALSE))</f>
        <v/>
      </c>
      <c r="B15" s="66"/>
      <c r="C15" s="66"/>
      <c r="D15" s="66"/>
      <c r="E15" s="88"/>
      <c r="F15" s="66"/>
      <c r="G15" s="66"/>
      <c r="H15" s="66"/>
      <c r="I15" s="66"/>
      <c r="J15" s="66"/>
      <c r="K15" s="66"/>
      <c r="L15" s="66"/>
      <c r="M15" s="66"/>
      <c r="N15" s="88"/>
      <c r="O15" s="86"/>
      <c r="P15" s="67" t="str">
        <f ca="1">IF($H15="","",VLOOKUP($H15,OFFSET(Code_Group_Strategy,0,1),2,FALSE))</f>
        <v/>
      </c>
      <c r="Q15" s="67" t="str">
        <f ca="1">IF($I15="","",VLOOKUP($I15,OFFSET(Code_Lane_Strategy,0,1),2,FALSE))</f>
        <v/>
      </c>
      <c r="R15" s="68"/>
    </row>
  </sheetData>
  <phoneticPr fontId="1"/>
  <dataValidations count="4">
    <dataValidation type="list" allowBlank="1" showInputMessage="1" showErrorMessage="1" sqref="B4:B15" xr:uid="{A7E5592E-3C53-46EB-9AA4-4C1E86884AF7}">
      <formula1>OFFSET(INDIRECT("CompetitionEventList"),0,13,,1)</formula1>
    </dataValidation>
    <dataValidation type="custom" showInputMessage="1" showErrorMessage="1" sqref="C4:C15" xr:uid="{5C35FE18-86F7-4D07-BBCF-444DB7250BB4}">
      <formula1>IF($B4="",C4="",AND(C4&gt;0,C4&lt;=VLOOKUP($A4,INDIRECT("CompetitionEventList"),7,FALSE)))</formula1>
    </dataValidation>
    <dataValidation type="list" allowBlank="1" showInputMessage="1" showErrorMessage="1" sqref="H4:H15" xr:uid="{8537789A-B842-416F-9E2A-5D033D45762A}">
      <formula1>OFFSET(Code_Group_Strategy,0,1,,1)</formula1>
    </dataValidation>
    <dataValidation type="list" allowBlank="1" showInputMessage="1" showErrorMessage="1" sqref="I4:I15" xr:uid="{9B37516B-5D7F-4164-B8D1-4283616C6866}">
      <formula1>OFFSET(Code_Lane_Strategy,0,1,,1)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F241C-F65C-4FF7-A417-F8E482CE7833}">
  <sheetPr codeName="TeamListSheet"/>
  <dimension ref="A1:N5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4" sqref="L4"/>
    </sheetView>
  </sheetViews>
  <sheetFormatPr defaultRowHeight="13.5"/>
  <cols>
    <col min="1" max="3" width="20.625" customWidth="1"/>
    <col min="4" max="4" width="40.625" customWidth="1"/>
    <col min="7" max="7" width="12.75" customWidth="1"/>
    <col min="8" max="10" width="20.625" customWidth="1"/>
    <col min="12" max="12" width="12.125" bestFit="1" customWidth="1"/>
    <col min="13" max="13" width="12.125" hidden="1" customWidth="1"/>
    <col min="14" max="14" width="10.75" hidden="1" customWidth="1"/>
  </cols>
  <sheetData>
    <row r="1" spans="1:14" ht="28.5">
      <c r="A1" s="15" t="s">
        <v>395</v>
      </c>
    </row>
    <row r="3" spans="1:14" ht="27">
      <c r="A3" s="122" t="s">
        <v>396</v>
      </c>
      <c r="B3" s="82" t="s">
        <v>397</v>
      </c>
      <c r="C3" s="82" t="s">
        <v>398</v>
      </c>
      <c r="D3" s="82" t="s">
        <v>399</v>
      </c>
      <c r="E3" s="82" t="s">
        <v>400</v>
      </c>
      <c r="F3" s="82" t="s">
        <v>414</v>
      </c>
      <c r="G3" s="82" t="s">
        <v>401</v>
      </c>
      <c r="H3" s="82" t="s">
        <v>404</v>
      </c>
      <c r="I3" s="82" t="s">
        <v>402</v>
      </c>
      <c r="J3" s="82" t="s">
        <v>403</v>
      </c>
      <c r="K3" s="82" t="s">
        <v>429</v>
      </c>
      <c r="L3" s="84" t="s">
        <v>503</v>
      </c>
      <c r="M3" s="104" t="s">
        <v>432</v>
      </c>
      <c r="N3" s="103" t="s">
        <v>405</v>
      </c>
    </row>
    <row r="4" spans="1:14">
      <c r="A4" s="17" t="s">
        <v>562</v>
      </c>
      <c r="B4" s="70" t="s">
        <v>563</v>
      </c>
      <c r="C4" s="70"/>
      <c r="D4" s="70"/>
      <c r="E4" s="70" t="s">
        <v>525</v>
      </c>
      <c r="F4" s="66" t="s">
        <v>526</v>
      </c>
      <c r="G4" s="70" t="s">
        <v>527</v>
      </c>
      <c r="H4" s="70" t="s">
        <v>564</v>
      </c>
      <c r="I4" s="169" t="s">
        <v>565</v>
      </c>
      <c r="J4" s="169" t="s">
        <v>566</v>
      </c>
      <c r="K4" s="70"/>
      <c r="L4" s="167">
        <f t="shared" ref="L4:L5" ca="1" si="0">HYPERLINK("選手!A4",COUNTIF(OFFSET(INDIRECT("AthletePersonList"),0,12,,1),N4))</f>
        <v>0</v>
      </c>
      <c r="M4" s="165"/>
      <c r="N4" s="164" t="s">
        <v>828</v>
      </c>
    </row>
    <row r="5" spans="1:14">
      <c r="A5" s="18"/>
      <c r="B5" s="66"/>
      <c r="C5" s="66"/>
      <c r="D5" s="66"/>
      <c r="E5" s="66"/>
      <c r="F5" s="66"/>
      <c r="G5" s="66"/>
      <c r="H5" s="66"/>
      <c r="I5" s="66"/>
      <c r="J5" s="66"/>
      <c r="K5" s="66"/>
      <c r="L5" s="166">
        <f t="shared" ca="1" si="0"/>
        <v>0</v>
      </c>
      <c r="M5" s="165"/>
      <c r="N5" s="168"/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2F9B8-1B2B-42FF-98E2-98BE8103D2E9}">
  <sheetPr codeName="AthleteListSheet"/>
  <dimension ref="A1:BV47"/>
  <sheetViews>
    <sheetView showGridLines="0"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4" sqref="K14"/>
    </sheetView>
  </sheetViews>
  <sheetFormatPr defaultRowHeight="13.5"/>
  <cols>
    <col min="1" max="1" width="15.625" customWidth="1"/>
    <col min="4" max="4" width="20.625" customWidth="1"/>
    <col min="5" max="5" width="7.875" bestFit="1" customWidth="1"/>
    <col min="6" max="8" width="20.625" customWidth="1"/>
    <col min="9" max="9" width="9.125" customWidth="1"/>
    <col min="11" max="11" width="13.25" customWidth="1"/>
    <col min="12" max="12" width="11.25" customWidth="1"/>
    <col min="13" max="13" width="9.25" hidden="1" customWidth="1"/>
    <col min="14" max="14" width="11.375" hidden="1" customWidth="1"/>
    <col min="15" max="15" width="25.625" customWidth="1"/>
    <col min="16" max="16" width="6.125" customWidth="1"/>
    <col min="17" max="17" width="10.125" hidden="1" customWidth="1"/>
    <col min="18" max="20" width="13.375" customWidth="1"/>
    <col min="21" max="21" width="25.625" customWidth="1"/>
    <col min="22" max="22" width="7.25" customWidth="1"/>
    <col min="23" max="23" width="11.125" hidden="1" customWidth="1"/>
    <col min="24" max="26" width="14.5" customWidth="1"/>
    <col min="27" max="27" width="25.625" customWidth="1"/>
    <col min="28" max="28" width="7.25" customWidth="1"/>
    <col min="29" max="29" width="11.125" hidden="1" customWidth="1"/>
    <col min="30" max="30" width="14.5" customWidth="1"/>
    <col min="31" max="32" width="15.625" customWidth="1"/>
    <col min="33" max="33" width="25.625" customWidth="1"/>
    <col min="34" max="34" width="8.375" customWidth="1"/>
    <col min="35" max="35" width="12.25" hidden="1" customWidth="1"/>
    <col min="36" max="38" width="15.625" customWidth="1"/>
    <col min="39" max="39" width="25.625" customWidth="1"/>
    <col min="40" max="40" width="8.375" customWidth="1"/>
    <col min="41" max="41" width="12.25" hidden="1" customWidth="1"/>
    <col min="42" max="44" width="15.625" customWidth="1"/>
    <col min="45" max="45" width="25.625" customWidth="1"/>
    <col min="46" max="46" width="8.375" customWidth="1"/>
    <col min="47" max="47" width="12.25" hidden="1" customWidth="1"/>
    <col min="48" max="50" width="15.625" customWidth="1"/>
    <col min="51" max="51" width="25.625" customWidth="1"/>
    <col min="52" max="52" width="8.375" customWidth="1"/>
    <col min="53" max="53" width="12.25" hidden="1" customWidth="1"/>
    <col min="54" max="56" width="15.625" customWidth="1"/>
    <col min="57" max="57" width="25.625" customWidth="1"/>
    <col min="58" max="58" width="8.375" customWidth="1"/>
    <col min="59" max="59" width="12.25" hidden="1" customWidth="1"/>
    <col min="60" max="62" width="15.625" customWidth="1"/>
    <col min="63" max="63" width="25.625" customWidth="1"/>
    <col min="64" max="64" width="8.375" customWidth="1"/>
    <col min="65" max="65" width="12.25" hidden="1" customWidth="1"/>
    <col min="66" max="68" width="15.625" customWidth="1"/>
    <col min="69" max="69" width="25.625" customWidth="1"/>
    <col min="70" max="70" width="8.375" customWidth="1"/>
    <col min="71" max="71" width="12.25" hidden="1" customWidth="1"/>
    <col min="72" max="74" width="15.625" customWidth="1"/>
  </cols>
  <sheetData>
    <row r="1" spans="1:74" ht="28.5">
      <c r="A1" s="15" t="s">
        <v>407</v>
      </c>
    </row>
    <row r="3" spans="1:74">
      <c r="A3" s="105" t="s">
        <v>419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5" t="s">
        <v>420</v>
      </c>
      <c r="P3" s="106"/>
      <c r="Q3" s="106"/>
      <c r="R3" s="106"/>
      <c r="S3" s="106"/>
      <c r="T3" s="107"/>
      <c r="U3" s="105" t="s">
        <v>421</v>
      </c>
      <c r="V3" s="106"/>
      <c r="W3" s="106"/>
      <c r="X3" s="106"/>
      <c r="Y3" s="106"/>
      <c r="Z3" s="107"/>
      <c r="AA3" s="105" t="s">
        <v>422</v>
      </c>
      <c r="AB3" s="106"/>
      <c r="AC3" s="106"/>
      <c r="AD3" s="106"/>
      <c r="AE3" s="106"/>
      <c r="AF3" s="107"/>
      <c r="AG3" s="105" t="s">
        <v>423</v>
      </c>
      <c r="AH3" s="106"/>
      <c r="AI3" s="106"/>
      <c r="AJ3" s="106"/>
      <c r="AK3" s="106"/>
      <c r="AL3" s="107"/>
      <c r="AM3" s="105" t="s">
        <v>424</v>
      </c>
      <c r="AN3" s="106"/>
      <c r="AO3" s="106"/>
      <c r="AP3" s="106"/>
      <c r="AQ3" s="106"/>
      <c r="AR3" s="107"/>
      <c r="AS3" s="105" t="s">
        <v>425</v>
      </c>
      <c r="AT3" s="106"/>
      <c r="AU3" s="106"/>
      <c r="AV3" s="106"/>
      <c r="AW3" s="106"/>
      <c r="AX3" s="107"/>
      <c r="AY3" s="105" t="s">
        <v>426</v>
      </c>
      <c r="AZ3" s="106"/>
      <c r="BA3" s="106"/>
      <c r="BB3" s="106"/>
      <c r="BC3" s="106"/>
      <c r="BD3" s="107"/>
      <c r="BE3" s="105" t="s">
        <v>427</v>
      </c>
      <c r="BF3" s="106"/>
      <c r="BG3" s="106"/>
      <c r="BH3" s="106"/>
      <c r="BI3" s="106"/>
      <c r="BJ3" s="107"/>
      <c r="BK3" s="105" t="s">
        <v>428</v>
      </c>
      <c r="BL3" s="106"/>
      <c r="BM3" s="106"/>
      <c r="BN3" s="106"/>
      <c r="BO3" s="106"/>
      <c r="BP3" s="107"/>
      <c r="BQ3" s="106" t="s">
        <v>479</v>
      </c>
      <c r="BR3" s="106"/>
      <c r="BS3" s="106"/>
      <c r="BT3" s="106"/>
      <c r="BU3" s="106"/>
      <c r="BV3" s="107"/>
    </row>
    <row r="4" spans="1:74" ht="27">
      <c r="A4" s="110" t="s">
        <v>418</v>
      </c>
      <c r="B4" s="121" t="s">
        <v>83</v>
      </c>
      <c r="C4" s="121" t="s">
        <v>406</v>
      </c>
      <c r="D4" s="121" t="s">
        <v>408</v>
      </c>
      <c r="E4" s="109" t="s">
        <v>409</v>
      </c>
      <c r="F4" s="112" t="s">
        <v>410</v>
      </c>
      <c r="G4" s="112" t="s">
        <v>411</v>
      </c>
      <c r="H4" s="121" t="s">
        <v>412</v>
      </c>
      <c r="I4" s="109" t="s">
        <v>413</v>
      </c>
      <c r="J4" s="109" t="s">
        <v>414</v>
      </c>
      <c r="K4" s="111" t="s">
        <v>830</v>
      </c>
      <c r="L4" s="111" t="s">
        <v>415</v>
      </c>
      <c r="M4" s="132" t="s">
        <v>416</v>
      </c>
      <c r="N4" s="131" t="s">
        <v>405</v>
      </c>
      <c r="O4" s="108" t="s">
        <v>434</v>
      </c>
      <c r="P4" s="109" t="s">
        <v>417</v>
      </c>
      <c r="Q4" s="112" t="s">
        <v>493</v>
      </c>
      <c r="R4" s="112" t="s">
        <v>435</v>
      </c>
      <c r="S4" s="112" t="s">
        <v>436</v>
      </c>
      <c r="T4" s="119" t="s">
        <v>437</v>
      </c>
      <c r="U4" s="108" t="s">
        <v>433</v>
      </c>
      <c r="V4" s="109" t="s">
        <v>438</v>
      </c>
      <c r="W4" s="112" t="s">
        <v>494</v>
      </c>
      <c r="X4" s="112" t="s">
        <v>439</v>
      </c>
      <c r="Y4" s="112" t="s">
        <v>440</v>
      </c>
      <c r="Z4" s="119" t="s">
        <v>441</v>
      </c>
      <c r="AA4" s="108" t="s">
        <v>442</v>
      </c>
      <c r="AB4" s="109" t="s">
        <v>443</v>
      </c>
      <c r="AC4" s="112" t="s">
        <v>495</v>
      </c>
      <c r="AD4" s="112" t="s">
        <v>444</v>
      </c>
      <c r="AE4" s="112" t="s">
        <v>445</v>
      </c>
      <c r="AF4" s="119" t="s">
        <v>446</v>
      </c>
      <c r="AG4" s="108" t="s">
        <v>447</v>
      </c>
      <c r="AH4" s="109" t="s">
        <v>448</v>
      </c>
      <c r="AI4" s="112" t="s">
        <v>496</v>
      </c>
      <c r="AJ4" s="112" t="s">
        <v>449</v>
      </c>
      <c r="AK4" s="112" t="s">
        <v>450</v>
      </c>
      <c r="AL4" s="119" t="s">
        <v>451</v>
      </c>
      <c r="AM4" s="108" t="s">
        <v>452</v>
      </c>
      <c r="AN4" s="109" t="s">
        <v>453</v>
      </c>
      <c r="AO4" s="112" t="s">
        <v>497</v>
      </c>
      <c r="AP4" s="112" t="s">
        <v>454</v>
      </c>
      <c r="AQ4" s="112" t="s">
        <v>455</v>
      </c>
      <c r="AR4" s="119" t="s">
        <v>456</v>
      </c>
      <c r="AS4" s="108" t="s">
        <v>457</v>
      </c>
      <c r="AT4" s="109" t="s">
        <v>458</v>
      </c>
      <c r="AU4" s="112" t="s">
        <v>498</v>
      </c>
      <c r="AV4" s="112" t="s">
        <v>459</v>
      </c>
      <c r="AW4" s="112" t="s">
        <v>460</v>
      </c>
      <c r="AX4" s="119" t="s">
        <v>461</v>
      </c>
      <c r="AY4" s="108" t="s">
        <v>462</v>
      </c>
      <c r="AZ4" s="109" t="s">
        <v>464</v>
      </c>
      <c r="BA4" s="112" t="s">
        <v>499</v>
      </c>
      <c r="BB4" s="112" t="s">
        <v>465</v>
      </c>
      <c r="BC4" s="112" t="s">
        <v>466</v>
      </c>
      <c r="BD4" s="119" t="s">
        <v>467</v>
      </c>
      <c r="BE4" s="108" t="s">
        <v>468</v>
      </c>
      <c r="BF4" s="109" t="s">
        <v>463</v>
      </c>
      <c r="BG4" s="112" t="s">
        <v>500</v>
      </c>
      <c r="BH4" s="112" t="s">
        <v>469</v>
      </c>
      <c r="BI4" s="112" t="s">
        <v>470</v>
      </c>
      <c r="BJ4" s="119" t="s">
        <v>471</v>
      </c>
      <c r="BK4" s="108" t="s">
        <v>472</v>
      </c>
      <c r="BL4" s="109" t="s">
        <v>473</v>
      </c>
      <c r="BM4" s="112" t="s">
        <v>501</v>
      </c>
      <c r="BN4" s="112" t="s">
        <v>474</v>
      </c>
      <c r="BO4" s="112" t="s">
        <v>475</v>
      </c>
      <c r="BP4" s="119" t="s">
        <v>476</v>
      </c>
      <c r="BQ4" s="110" t="s">
        <v>477</v>
      </c>
      <c r="BR4" s="109" t="s">
        <v>478</v>
      </c>
      <c r="BS4" s="112" t="s">
        <v>502</v>
      </c>
      <c r="BT4" s="112" t="s">
        <v>480</v>
      </c>
      <c r="BU4" s="112" t="s">
        <v>481</v>
      </c>
      <c r="BV4" s="120" t="s">
        <v>482</v>
      </c>
    </row>
    <row r="5" spans="1:74">
      <c r="A5" s="117"/>
      <c r="B5" s="115" t="s">
        <v>18</v>
      </c>
      <c r="C5" s="113">
        <v>773</v>
      </c>
      <c r="D5" s="115" t="s">
        <v>569</v>
      </c>
      <c r="E5" s="113" t="s">
        <v>570</v>
      </c>
      <c r="F5" s="115" t="s">
        <v>571</v>
      </c>
      <c r="G5" s="115" t="s">
        <v>572</v>
      </c>
      <c r="H5" s="115" t="s">
        <v>562</v>
      </c>
      <c r="I5" s="115" t="s">
        <v>525</v>
      </c>
      <c r="J5" s="115" t="s">
        <v>573</v>
      </c>
      <c r="K5" s="173">
        <v>38701</v>
      </c>
      <c r="L5" s="115" t="s">
        <v>574</v>
      </c>
      <c r="M5" s="130" t="s">
        <v>720</v>
      </c>
      <c r="N5" s="133"/>
      <c r="O5" s="116" t="s">
        <v>380</v>
      </c>
      <c r="P5" s="115"/>
      <c r="Q5" s="129">
        <v>3</v>
      </c>
      <c r="R5" s="113" t="s">
        <v>701</v>
      </c>
      <c r="S5" s="113"/>
      <c r="T5" s="114"/>
      <c r="U5" s="116"/>
      <c r="V5" s="115"/>
      <c r="W5" s="129"/>
      <c r="X5" s="113"/>
      <c r="Y5" s="113"/>
      <c r="Z5" s="114"/>
      <c r="AA5" s="116"/>
      <c r="AB5" s="115"/>
      <c r="AC5" s="129"/>
      <c r="AD5" s="113"/>
      <c r="AE5" s="113"/>
      <c r="AF5" s="114"/>
      <c r="AG5" s="116"/>
      <c r="AH5" s="115"/>
      <c r="AI5" s="129"/>
      <c r="AJ5" s="113"/>
      <c r="AK5" s="113"/>
      <c r="AL5" s="114"/>
      <c r="AM5" s="116"/>
      <c r="AN5" s="115"/>
      <c r="AO5" s="129"/>
      <c r="AP5" s="113"/>
      <c r="AQ5" s="113"/>
      <c r="AR5" s="114"/>
      <c r="AS5" s="116"/>
      <c r="AT5" s="115"/>
      <c r="AU5" s="129"/>
      <c r="AV5" s="113"/>
      <c r="AW5" s="113"/>
      <c r="AX5" s="114"/>
      <c r="AY5" s="116"/>
      <c r="AZ5" s="115"/>
      <c r="BA5" s="129"/>
      <c r="BB5" s="113"/>
      <c r="BC5" s="113"/>
      <c r="BD5" s="114"/>
      <c r="BE5" s="116"/>
      <c r="BF5" s="115"/>
      <c r="BG5" s="129"/>
      <c r="BH5" s="113"/>
      <c r="BI5" s="113"/>
      <c r="BJ5" s="114"/>
      <c r="BK5" s="116"/>
      <c r="BL5" s="115"/>
      <c r="BM5" s="129"/>
      <c r="BN5" s="113"/>
      <c r="BO5" s="113"/>
      <c r="BP5" s="114"/>
      <c r="BQ5" s="116"/>
      <c r="BR5" s="115"/>
      <c r="BS5" s="129"/>
      <c r="BT5" s="113"/>
      <c r="BU5" s="113"/>
      <c r="BV5" s="118"/>
    </row>
    <row r="6" spans="1:74">
      <c r="A6" s="135"/>
      <c r="B6" s="136" t="s">
        <v>18</v>
      </c>
      <c r="C6" s="137">
        <v>589</v>
      </c>
      <c r="D6" s="136" t="s">
        <v>575</v>
      </c>
      <c r="E6" s="137" t="s">
        <v>576</v>
      </c>
      <c r="F6" s="136" t="s">
        <v>577</v>
      </c>
      <c r="G6" s="136" t="s">
        <v>578</v>
      </c>
      <c r="H6" s="136" t="s">
        <v>562</v>
      </c>
      <c r="I6" s="136" t="s">
        <v>525</v>
      </c>
      <c r="J6" s="136" t="s">
        <v>579</v>
      </c>
      <c r="K6" s="174">
        <v>38656</v>
      </c>
      <c r="L6" s="136" t="s">
        <v>527</v>
      </c>
      <c r="M6" s="138" t="s">
        <v>721</v>
      </c>
      <c r="N6" s="139"/>
      <c r="O6" s="140" t="s">
        <v>380</v>
      </c>
      <c r="P6" s="136"/>
      <c r="Q6" s="129">
        <v>3</v>
      </c>
      <c r="R6" s="137" t="s">
        <v>702</v>
      </c>
      <c r="S6" s="137"/>
      <c r="T6" s="141"/>
      <c r="U6" s="140"/>
      <c r="V6" s="136"/>
      <c r="W6" s="129"/>
      <c r="X6" s="137"/>
      <c r="Y6" s="137"/>
      <c r="Z6" s="141"/>
      <c r="AA6" s="140"/>
      <c r="AB6" s="136"/>
      <c r="AC6" s="129"/>
      <c r="AD6" s="137"/>
      <c r="AE6" s="137"/>
      <c r="AF6" s="141"/>
      <c r="AG6" s="140"/>
      <c r="AH6" s="136"/>
      <c r="AI6" s="129"/>
      <c r="AJ6" s="137"/>
      <c r="AK6" s="137"/>
      <c r="AL6" s="141"/>
      <c r="AM6" s="140"/>
      <c r="AN6" s="136"/>
      <c r="AO6" s="129"/>
      <c r="AP6" s="137"/>
      <c r="AQ6" s="137"/>
      <c r="AR6" s="141"/>
      <c r="AS6" s="140"/>
      <c r="AT6" s="136"/>
      <c r="AU6" s="129"/>
      <c r="AV6" s="137"/>
      <c r="AW6" s="137"/>
      <c r="AX6" s="141"/>
      <c r="AY6" s="140"/>
      <c r="AZ6" s="136"/>
      <c r="BA6" s="129"/>
      <c r="BB6" s="137"/>
      <c r="BC6" s="137"/>
      <c r="BD6" s="141"/>
      <c r="BE6" s="140"/>
      <c r="BF6" s="136"/>
      <c r="BG6" s="129"/>
      <c r="BH6" s="137"/>
      <c r="BI6" s="137"/>
      <c r="BJ6" s="141"/>
      <c r="BK6" s="140"/>
      <c r="BL6" s="136"/>
      <c r="BM6" s="129"/>
      <c r="BN6" s="137"/>
      <c r="BO6" s="137"/>
      <c r="BP6" s="141"/>
      <c r="BQ6" s="140"/>
      <c r="BR6" s="136"/>
      <c r="BS6" s="129"/>
      <c r="BT6" s="137"/>
      <c r="BU6" s="137"/>
      <c r="BV6" s="142"/>
    </row>
    <row r="7" spans="1:74">
      <c r="A7" s="135"/>
      <c r="B7" s="136" t="s">
        <v>18</v>
      </c>
      <c r="C7" s="137">
        <v>584</v>
      </c>
      <c r="D7" s="136" t="s">
        <v>580</v>
      </c>
      <c r="E7" s="137" t="s">
        <v>576</v>
      </c>
      <c r="F7" s="136" t="s">
        <v>581</v>
      </c>
      <c r="G7" s="136" t="s">
        <v>582</v>
      </c>
      <c r="H7" s="136" t="s">
        <v>562</v>
      </c>
      <c r="I7" s="136" t="s">
        <v>525</v>
      </c>
      <c r="J7" s="136" t="s">
        <v>579</v>
      </c>
      <c r="K7" s="174">
        <v>38694</v>
      </c>
      <c r="L7" s="136" t="s">
        <v>527</v>
      </c>
      <c r="M7" s="138" t="s">
        <v>722</v>
      </c>
      <c r="N7" s="139"/>
      <c r="O7" s="140" t="s">
        <v>380</v>
      </c>
      <c r="P7" s="136"/>
      <c r="Q7" s="129">
        <v>3</v>
      </c>
      <c r="R7" s="137" t="s">
        <v>702</v>
      </c>
      <c r="S7" s="137"/>
      <c r="T7" s="141"/>
      <c r="U7" s="140"/>
      <c r="V7" s="136"/>
      <c r="W7" s="129"/>
      <c r="X7" s="137"/>
      <c r="Y7" s="137"/>
      <c r="Z7" s="141"/>
      <c r="AA7" s="140"/>
      <c r="AB7" s="136"/>
      <c r="AC7" s="129"/>
      <c r="AD7" s="137"/>
      <c r="AE7" s="137"/>
      <c r="AF7" s="141"/>
      <c r="AG7" s="140"/>
      <c r="AH7" s="136"/>
      <c r="AI7" s="129"/>
      <c r="AJ7" s="137"/>
      <c r="AK7" s="137"/>
      <c r="AL7" s="141"/>
      <c r="AM7" s="140"/>
      <c r="AN7" s="136"/>
      <c r="AO7" s="129"/>
      <c r="AP7" s="137"/>
      <c r="AQ7" s="137"/>
      <c r="AR7" s="141"/>
      <c r="AS7" s="140"/>
      <c r="AT7" s="136"/>
      <c r="AU7" s="129"/>
      <c r="AV7" s="137"/>
      <c r="AW7" s="137"/>
      <c r="AX7" s="141"/>
      <c r="AY7" s="140"/>
      <c r="AZ7" s="136"/>
      <c r="BA7" s="129"/>
      <c r="BB7" s="137"/>
      <c r="BC7" s="137"/>
      <c r="BD7" s="141"/>
      <c r="BE7" s="140"/>
      <c r="BF7" s="136"/>
      <c r="BG7" s="129"/>
      <c r="BH7" s="137"/>
      <c r="BI7" s="137"/>
      <c r="BJ7" s="141"/>
      <c r="BK7" s="140"/>
      <c r="BL7" s="136"/>
      <c r="BM7" s="129"/>
      <c r="BN7" s="137"/>
      <c r="BO7" s="137"/>
      <c r="BP7" s="141"/>
      <c r="BQ7" s="140"/>
      <c r="BR7" s="136"/>
      <c r="BS7" s="129"/>
      <c r="BT7" s="137"/>
      <c r="BU7" s="137"/>
      <c r="BV7" s="142"/>
    </row>
    <row r="8" spans="1:74">
      <c r="A8" s="135"/>
      <c r="B8" s="136" t="s">
        <v>18</v>
      </c>
      <c r="C8" s="137">
        <v>53</v>
      </c>
      <c r="D8" s="136" t="s">
        <v>583</v>
      </c>
      <c r="E8" s="137" t="s">
        <v>570</v>
      </c>
      <c r="F8" s="136" t="s">
        <v>584</v>
      </c>
      <c r="G8" s="136" t="s">
        <v>585</v>
      </c>
      <c r="H8" s="136" t="s">
        <v>562</v>
      </c>
      <c r="I8" s="136" t="s">
        <v>525</v>
      </c>
      <c r="J8" s="136" t="s">
        <v>579</v>
      </c>
      <c r="K8" s="174">
        <v>39142</v>
      </c>
      <c r="L8" s="136" t="s">
        <v>527</v>
      </c>
      <c r="M8" s="138" t="s">
        <v>723</v>
      </c>
      <c r="N8" s="139"/>
      <c r="O8" s="140" t="s">
        <v>380</v>
      </c>
      <c r="P8" s="136"/>
      <c r="Q8" s="129">
        <v>3</v>
      </c>
      <c r="R8" s="137" t="s">
        <v>702</v>
      </c>
      <c r="S8" s="137"/>
      <c r="T8" s="141"/>
      <c r="U8" s="140"/>
      <c r="V8" s="136"/>
      <c r="W8" s="129"/>
      <c r="X8" s="137"/>
      <c r="Y8" s="137"/>
      <c r="Z8" s="141"/>
      <c r="AA8" s="140"/>
      <c r="AB8" s="136"/>
      <c r="AC8" s="129"/>
      <c r="AD8" s="137"/>
      <c r="AE8" s="137"/>
      <c r="AF8" s="141"/>
      <c r="AG8" s="140"/>
      <c r="AH8" s="136"/>
      <c r="AI8" s="129"/>
      <c r="AJ8" s="137"/>
      <c r="AK8" s="137"/>
      <c r="AL8" s="141"/>
      <c r="AM8" s="140"/>
      <c r="AN8" s="136"/>
      <c r="AO8" s="129"/>
      <c r="AP8" s="137"/>
      <c r="AQ8" s="137"/>
      <c r="AR8" s="141"/>
      <c r="AS8" s="140"/>
      <c r="AT8" s="136"/>
      <c r="AU8" s="129"/>
      <c r="AV8" s="137"/>
      <c r="AW8" s="137"/>
      <c r="AX8" s="141"/>
      <c r="AY8" s="140"/>
      <c r="AZ8" s="136"/>
      <c r="BA8" s="129"/>
      <c r="BB8" s="137"/>
      <c r="BC8" s="137"/>
      <c r="BD8" s="141"/>
      <c r="BE8" s="140"/>
      <c r="BF8" s="136"/>
      <c r="BG8" s="129"/>
      <c r="BH8" s="137"/>
      <c r="BI8" s="137"/>
      <c r="BJ8" s="141"/>
      <c r="BK8" s="140"/>
      <c r="BL8" s="136"/>
      <c r="BM8" s="129"/>
      <c r="BN8" s="137"/>
      <c r="BO8" s="137"/>
      <c r="BP8" s="141"/>
      <c r="BQ8" s="140"/>
      <c r="BR8" s="136"/>
      <c r="BS8" s="129"/>
      <c r="BT8" s="137"/>
      <c r="BU8" s="137"/>
      <c r="BV8" s="142"/>
    </row>
    <row r="9" spans="1:74">
      <c r="A9" s="135"/>
      <c r="B9" s="136" t="s">
        <v>18</v>
      </c>
      <c r="C9" s="137">
        <v>55</v>
      </c>
      <c r="D9" s="136" t="s">
        <v>586</v>
      </c>
      <c r="E9" s="137" t="s">
        <v>570</v>
      </c>
      <c r="F9" s="136" t="s">
        <v>587</v>
      </c>
      <c r="G9" s="136" t="s">
        <v>588</v>
      </c>
      <c r="H9" s="136" t="s">
        <v>562</v>
      </c>
      <c r="I9" s="136" t="s">
        <v>525</v>
      </c>
      <c r="J9" s="136" t="s">
        <v>579</v>
      </c>
      <c r="K9" s="174">
        <v>38869</v>
      </c>
      <c r="L9" s="136" t="s">
        <v>527</v>
      </c>
      <c r="M9" s="138" t="s">
        <v>724</v>
      </c>
      <c r="N9" s="139"/>
      <c r="O9" s="140" t="s">
        <v>380</v>
      </c>
      <c r="P9" s="136"/>
      <c r="Q9" s="129">
        <v>3</v>
      </c>
      <c r="R9" s="137" t="s">
        <v>703</v>
      </c>
      <c r="S9" s="137"/>
      <c r="T9" s="141"/>
      <c r="U9" s="140"/>
      <c r="V9" s="136"/>
      <c r="W9" s="129"/>
      <c r="X9" s="137"/>
      <c r="Y9" s="137"/>
      <c r="Z9" s="141"/>
      <c r="AA9" s="140"/>
      <c r="AB9" s="136"/>
      <c r="AC9" s="129"/>
      <c r="AD9" s="137"/>
      <c r="AE9" s="137"/>
      <c r="AF9" s="141"/>
      <c r="AG9" s="140"/>
      <c r="AH9" s="136"/>
      <c r="AI9" s="129"/>
      <c r="AJ9" s="137"/>
      <c r="AK9" s="137"/>
      <c r="AL9" s="141"/>
      <c r="AM9" s="140"/>
      <c r="AN9" s="136"/>
      <c r="AO9" s="129"/>
      <c r="AP9" s="137"/>
      <c r="AQ9" s="137"/>
      <c r="AR9" s="141"/>
      <c r="AS9" s="140"/>
      <c r="AT9" s="136"/>
      <c r="AU9" s="129"/>
      <c r="AV9" s="137"/>
      <c r="AW9" s="137"/>
      <c r="AX9" s="141"/>
      <c r="AY9" s="140"/>
      <c r="AZ9" s="136"/>
      <c r="BA9" s="129"/>
      <c r="BB9" s="137"/>
      <c r="BC9" s="137"/>
      <c r="BD9" s="141"/>
      <c r="BE9" s="140"/>
      <c r="BF9" s="136"/>
      <c r="BG9" s="129"/>
      <c r="BH9" s="137"/>
      <c r="BI9" s="137"/>
      <c r="BJ9" s="141"/>
      <c r="BK9" s="140"/>
      <c r="BL9" s="136"/>
      <c r="BM9" s="129"/>
      <c r="BN9" s="137"/>
      <c r="BO9" s="137"/>
      <c r="BP9" s="141"/>
      <c r="BQ9" s="140"/>
      <c r="BR9" s="136"/>
      <c r="BS9" s="129"/>
      <c r="BT9" s="137"/>
      <c r="BU9" s="137"/>
      <c r="BV9" s="142"/>
    </row>
    <row r="10" spans="1:74">
      <c r="A10" s="135"/>
      <c r="B10" s="136" t="s">
        <v>18</v>
      </c>
      <c r="C10" s="137">
        <v>1074</v>
      </c>
      <c r="D10" s="136" t="s">
        <v>589</v>
      </c>
      <c r="E10" s="137" t="s">
        <v>590</v>
      </c>
      <c r="F10" s="136" t="s">
        <v>591</v>
      </c>
      <c r="G10" s="136" t="s">
        <v>592</v>
      </c>
      <c r="H10" s="136" t="s">
        <v>562</v>
      </c>
      <c r="I10" s="136" t="s">
        <v>525</v>
      </c>
      <c r="J10" s="136" t="s">
        <v>579</v>
      </c>
      <c r="K10" s="174">
        <v>39364</v>
      </c>
      <c r="L10" s="136" t="s">
        <v>527</v>
      </c>
      <c r="M10" s="138" t="s">
        <v>725</v>
      </c>
      <c r="N10" s="139"/>
      <c r="O10" s="140" t="s">
        <v>380</v>
      </c>
      <c r="P10" s="136"/>
      <c r="Q10" s="129">
        <v>3</v>
      </c>
      <c r="R10" s="137" t="s">
        <v>704</v>
      </c>
      <c r="S10" s="137"/>
      <c r="T10" s="141"/>
      <c r="U10" s="140"/>
      <c r="V10" s="136"/>
      <c r="W10" s="129"/>
      <c r="X10" s="137"/>
      <c r="Y10" s="137"/>
      <c r="Z10" s="141"/>
      <c r="AA10" s="140"/>
      <c r="AB10" s="136"/>
      <c r="AC10" s="129"/>
      <c r="AD10" s="137"/>
      <c r="AE10" s="137"/>
      <c r="AF10" s="141"/>
      <c r="AG10" s="140"/>
      <c r="AH10" s="136"/>
      <c r="AI10" s="129"/>
      <c r="AJ10" s="137"/>
      <c r="AK10" s="137"/>
      <c r="AL10" s="141"/>
      <c r="AM10" s="140"/>
      <c r="AN10" s="136"/>
      <c r="AO10" s="129"/>
      <c r="AP10" s="137"/>
      <c r="AQ10" s="137"/>
      <c r="AR10" s="141"/>
      <c r="AS10" s="140"/>
      <c r="AT10" s="136"/>
      <c r="AU10" s="129"/>
      <c r="AV10" s="137"/>
      <c r="AW10" s="137"/>
      <c r="AX10" s="141"/>
      <c r="AY10" s="140"/>
      <c r="AZ10" s="136"/>
      <c r="BA10" s="129"/>
      <c r="BB10" s="137"/>
      <c r="BC10" s="137"/>
      <c r="BD10" s="141"/>
      <c r="BE10" s="140"/>
      <c r="BF10" s="136"/>
      <c r="BG10" s="129"/>
      <c r="BH10" s="137"/>
      <c r="BI10" s="137"/>
      <c r="BJ10" s="141"/>
      <c r="BK10" s="140"/>
      <c r="BL10" s="136"/>
      <c r="BM10" s="129"/>
      <c r="BN10" s="137"/>
      <c r="BO10" s="137"/>
      <c r="BP10" s="141"/>
      <c r="BQ10" s="140"/>
      <c r="BR10" s="136"/>
      <c r="BS10" s="129"/>
      <c r="BT10" s="137"/>
      <c r="BU10" s="137"/>
      <c r="BV10" s="142"/>
    </row>
    <row r="11" spans="1:74">
      <c r="A11" s="135"/>
      <c r="B11" s="136" t="s">
        <v>18</v>
      </c>
      <c r="C11" s="137">
        <v>54</v>
      </c>
      <c r="D11" s="136" t="s">
        <v>593</v>
      </c>
      <c r="E11" s="137" t="s">
        <v>570</v>
      </c>
      <c r="F11" s="136" t="s">
        <v>594</v>
      </c>
      <c r="G11" s="136" t="s">
        <v>595</v>
      </c>
      <c r="H11" s="136" t="s">
        <v>562</v>
      </c>
      <c r="I11" s="136" t="s">
        <v>525</v>
      </c>
      <c r="J11" s="136" t="s">
        <v>579</v>
      </c>
      <c r="K11" s="174">
        <v>39142</v>
      </c>
      <c r="L11" s="136" t="s">
        <v>527</v>
      </c>
      <c r="M11" s="138" t="s">
        <v>726</v>
      </c>
      <c r="N11" s="139"/>
      <c r="O11" s="140" t="s">
        <v>380</v>
      </c>
      <c r="P11" s="136"/>
      <c r="Q11" s="129">
        <v>3</v>
      </c>
      <c r="R11" s="137" t="s">
        <v>705</v>
      </c>
      <c r="S11" s="137"/>
      <c r="T11" s="141"/>
      <c r="U11" s="140"/>
      <c r="V11" s="136"/>
      <c r="W11" s="129"/>
      <c r="X11" s="137"/>
      <c r="Y11" s="137"/>
      <c r="Z11" s="141"/>
      <c r="AA11" s="140"/>
      <c r="AB11" s="136"/>
      <c r="AC11" s="129"/>
      <c r="AD11" s="137"/>
      <c r="AE11" s="137"/>
      <c r="AF11" s="141"/>
      <c r="AG11" s="140"/>
      <c r="AH11" s="136"/>
      <c r="AI11" s="129"/>
      <c r="AJ11" s="137"/>
      <c r="AK11" s="137"/>
      <c r="AL11" s="141"/>
      <c r="AM11" s="140"/>
      <c r="AN11" s="136"/>
      <c r="AO11" s="129"/>
      <c r="AP11" s="137"/>
      <c r="AQ11" s="137"/>
      <c r="AR11" s="141"/>
      <c r="AS11" s="140"/>
      <c r="AT11" s="136"/>
      <c r="AU11" s="129"/>
      <c r="AV11" s="137"/>
      <c r="AW11" s="137"/>
      <c r="AX11" s="141"/>
      <c r="AY11" s="140"/>
      <c r="AZ11" s="136"/>
      <c r="BA11" s="129"/>
      <c r="BB11" s="137"/>
      <c r="BC11" s="137"/>
      <c r="BD11" s="141"/>
      <c r="BE11" s="140"/>
      <c r="BF11" s="136"/>
      <c r="BG11" s="129"/>
      <c r="BH11" s="137"/>
      <c r="BI11" s="137"/>
      <c r="BJ11" s="141"/>
      <c r="BK11" s="140"/>
      <c r="BL11" s="136"/>
      <c r="BM11" s="129"/>
      <c r="BN11" s="137"/>
      <c r="BO11" s="137"/>
      <c r="BP11" s="141"/>
      <c r="BQ11" s="140"/>
      <c r="BR11" s="136"/>
      <c r="BS11" s="129"/>
      <c r="BT11" s="137"/>
      <c r="BU11" s="137"/>
      <c r="BV11" s="142"/>
    </row>
    <row r="12" spans="1:74">
      <c r="A12" s="135"/>
      <c r="B12" s="136" t="s">
        <v>18</v>
      </c>
      <c r="C12" s="137">
        <v>1072</v>
      </c>
      <c r="D12" s="136" t="s">
        <v>596</v>
      </c>
      <c r="E12" s="137" t="s">
        <v>590</v>
      </c>
      <c r="F12" s="136" t="s">
        <v>597</v>
      </c>
      <c r="G12" s="136" t="s">
        <v>598</v>
      </c>
      <c r="H12" s="136" t="s">
        <v>562</v>
      </c>
      <c r="I12" s="136" t="s">
        <v>525</v>
      </c>
      <c r="J12" s="136" t="s">
        <v>579</v>
      </c>
      <c r="K12" s="174">
        <v>39419</v>
      </c>
      <c r="L12" s="136" t="s">
        <v>527</v>
      </c>
      <c r="M12" s="138" t="s">
        <v>727</v>
      </c>
      <c r="N12" s="139"/>
      <c r="O12" s="140" t="s">
        <v>380</v>
      </c>
      <c r="P12" s="136"/>
      <c r="Q12" s="129">
        <v>3</v>
      </c>
      <c r="R12" s="137" t="s">
        <v>705</v>
      </c>
      <c r="S12" s="137"/>
      <c r="T12" s="141"/>
      <c r="U12" s="140"/>
      <c r="V12" s="136"/>
      <c r="W12" s="129"/>
      <c r="X12" s="137"/>
      <c r="Y12" s="137"/>
      <c r="Z12" s="141"/>
      <c r="AA12" s="140"/>
      <c r="AB12" s="136"/>
      <c r="AC12" s="129"/>
      <c r="AD12" s="137"/>
      <c r="AE12" s="137"/>
      <c r="AF12" s="141"/>
      <c r="AG12" s="140"/>
      <c r="AH12" s="136"/>
      <c r="AI12" s="129"/>
      <c r="AJ12" s="137"/>
      <c r="AK12" s="137"/>
      <c r="AL12" s="141"/>
      <c r="AM12" s="140"/>
      <c r="AN12" s="136"/>
      <c r="AO12" s="129"/>
      <c r="AP12" s="137"/>
      <c r="AQ12" s="137"/>
      <c r="AR12" s="141"/>
      <c r="AS12" s="140"/>
      <c r="AT12" s="136"/>
      <c r="AU12" s="129"/>
      <c r="AV12" s="137"/>
      <c r="AW12" s="137"/>
      <c r="AX12" s="141"/>
      <c r="AY12" s="140"/>
      <c r="AZ12" s="136"/>
      <c r="BA12" s="129"/>
      <c r="BB12" s="137"/>
      <c r="BC12" s="137"/>
      <c r="BD12" s="141"/>
      <c r="BE12" s="140"/>
      <c r="BF12" s="136"/>
      <c r="BG12" s="129"/>
      <c r="BH12" s="137"/>
      <c r="BI12" s="137"/>
      <c r="BJ12" s="141"/>
      <c r="BK12" s="140"/>
      <c r="BL12" s="136"/>
      <c r="BM12" s="129"/>
      <c r="BN12" s="137"/>
      <c r="BO12" s="137"/>
      <c r="BP12" s="141"/>
      <c r="BQ12" s="140"/>
      <c r="BR12" s="136"/>
      <c r="BS12" s="129"/>
      <c r="BT12" s="137"/>
      <c r="BU12" s="137"/>
      <c r="BV12" s="142"/>
    </row>
    <row r="13" spans="1:74">
      <c r="A13" s="135"/>
      <c r="B13" s="136" t="s">
        <v>18</v>
      </c>
      <c r="C13" s="137">
        <v>1073</v>
      </c>
      <c r="D13" s="136" t="s">
        <v>599</v>
      </c>
      <c r="E13" s="137" t="s">
        <v>590</v>
      </c>
      <c r="F13" s="136" t="s">
        <v>600</v>
      </c>
      <c r="G13" s="136" t="s">
        <v>601</v>
      </c>
      <c r="H13" s="136" t="s">
        <v>562</v>
      </c>
      <c r="I13" s="136" t="s">
        <v>525</v>
      </c>
      <c r="J13" s="136" t="s">
        <v>579</v>
      </c>
      <c r="K13" s="174">
        <v>39525</v>
      </c>
      <c r="L13" s="136" t="s">
        <v>527</v>
      </c>
      <c r="M13" s="138" t="s">
        <v>728</v>
      </c>
      <c r="N13" s="139"/>
      <c r="O13" s="140" t="s">
        <v>380</v>
      </c>
      <c r="P13" s="136"/>
      <c r="Q13" s="129">
        <v>3</v>
      </c>
      <c r="R13" s="137" t="s">
        <v>705</v>
      </c>
      <c r="S13" s="137"/>
      <c r="T13" s="141"/>
      <c r="U13" s="140"/>
      <c r="V13" s="136"/>
      <c r="W13" s="129"/>
      <c r="X13" s="137"/>
      <c r="Y13" s="137"/>
      <c r="Z13" s="141"/>
      <c r="AA13" s="140"/>
      <c r="AB13" s="136"/>
      <c r="AC13" s="129"/>
      <c r="AD13" s="137"/>
      <c r="AE13" s="137"/>
      <c r="AF13" s="141"/>
      <c r="AG13" s="140"/>
      <c r="AH13" s="136"/>
      <c r="AI13" s="129"/>
      <c r="AJ13" s="137"/>
      <c r="AK13" s="137"/>
      <c r="AL13" s="141"/>
      <c r="AM13" s="140"/>
      <c r="AN13" s="136"/>
      <c r="AO13" s="129"/>
      <c r="AP13" s="137"/>
      <c r="AQ13" s="137"/>
      <c r="AR13" s="141"/>
      <c r="AS13" s="140"/>
      <c r="AT13" s="136"/>
      <c r="AU13" s="129"/>
      <c r="AV13" s="137"/>
      <c r="AW13" s="137"/>
      <c r="AX13" s="141"/>
      <c r="AY13" s="140"/>
      <c r="AZ13" s="136"/>
      <c r="BA13" s="129"/>
      <c r="BB13" s="137"/>
      <c r="BC13" s="137"/>
      <c r="BD13" s="141"/>
      <c r="BE13" s="140"/>
      <c r="BF13" s="136"/>
      <c r="BG13" s="129"/>
      <c r="BH13" s="137"/>
      <c r="BI13" s="137"/>
      <c r="BJ13" s="141"/>
      <c r="BK13" s="140"/>
      <c r="BL13" s="136"/>
      <c r="BM13" s="129"/>
      <c r="BN13" s="137"/>
      <c r="BO13" s="137"/>
      <c r="BP13" s="141"/>
      <c r="BQ13" s="140"/>
      <c r="BR13" s="136"/>
      <c r="BS13" s="129"/>
      <c r="BT13" s="137"/>
      <c r="BU13" s="137"/>
      <c r="BV13" s="142"/>
    </row>
    <row r="14" spans="1:74">
      <c r="A14" s="135"/>
      <c r="B14" s="136" t="s">
        <v>15</v>
      </c>
      <c r="C14" s="137">
        <v>1313</v>
      </c>
      <c r="D14" s="136" t="s">
        <v>602</v>
      </c>
      <c r="E14" s="137" t="s">
        <v>570</v>
      </c>
      <c r="F14" s="136" t="s">
        <v>603</v>
      </c>
      <c r="G14" s="136" t="s">
        <v>604</v>
      </c>
      <c r="H14" s="136" t="s">
        <v>562</v>
      </c>
      <c r="I14" s="136" t="s">
        <v>525</v>
      </c>
      <c r="J14" s="136" t="s">
        <v>573</v>
      </c>
      <c r="K14" s="174"/>
      <c r="L14" s="136" t="s">
        <v>574</v>
      </c>
      <c r="M14" s="138" t="s">
        <v>729</v>
      </c>
      <c r="N14" s="139"/>
      <c r="O14" s="140" t="s">
        <v>381</v>
      </c>
      <c r="P14" s="136"/>
      <c r="Q14" s="129">
        <v>2</v>
      </c>
      <c r="R14" s="137" t="s">
        <v>706</v>
      </c>
      <c r="S14" s="137"/>
      <c r="T14" s="141"/>
      <c r="U14" s="140"/>
      <c r="V14" s="136"/>
      <c r="W14" s="129"/>
      <c r="X14" s="137"/>
      <c r="Y14" s="137"/>
      <c r="Z14" s="141"/>
      <c r="AA14" s="140"/>
      <c r="AB14" s="136"/>
      <c r="AC14" s="129"/>
      <c r="AD14" s="137"/>
      <c r="AE14" s="137"/>
      <c r="AF14" s="141"/>
      <c r="AG14" s="140"/>
      <c r="AH14" s="136"/>
      <c r="AI14" s="129"/>
      <c r="AJ14" s="137"/>
      <c r="AK14" s="137"/>
      <c r="AL14" s="141"/>
      <c r="AM14" s="140"/>
      <c r="AN14" s="136"/>
      <c r="AO14" s="129"/>
      <c r="AP14" s="137"/>
      <c r="AQ14" s="137"/>
      <c r="AR14" s="141"/>
      <c r="AS14" s="140"/>
      <c r="AT14" s="136"/>
      <c r="AU14" s="129"/>
      <c r="AV14" s="137"/>
      <c r="AW14" s="137"/>
      <c r="AX14" s="141"/>
      <c r="AY14" s="140"/>
      <c r="AZ14" s="136"/>
      <c r="BA14" s="129"/>
      <c r="BB14" s="137"/>
      <c r="BC14" s="137"/>
      <c r="BD14" s="141"/>
      <c r="BE14" s="140"/>
      <c r="BF14" s="136"/>
      <c r="BG14" s="129"/>
      <c r="BH14" s="137"/>
      <c r="BI14" s="137"/>
      <c r="BJ14" s="141"/>
      <c r="BK14" s="140"/>
      <c r="BL14" s="136"/>
      <c r="BM14" s="129"/>
      <c r="BN14" s="137"/>
      <c r="BO14" s="137"/>
      <c r="BP14" s="141"/>
      <c r="BQ14" s="140"/>
      <c r="BR14" s="136"/>
      <c r="BS14" s="129"/>
      <c r="BT14" s="137"/>
      <c r="BU14" s="137"/>
      <c r="BV14" s="142"/>
    </row>
    <row r="15" spans="1:74">
      <c r="A15" s="135"/>
      <c r="B15" s="136" t="s">
        <v>15</v>
      </c>
      <c r="C15" s="137">
        <v>890</v>
      </c>
      <c r="D15" s="136" t="s">
        <v>605</v>
      </c>
      <c r="E15" s="137" t="s">
        <v>576</v>
      </c>
      <c r="F15" s="136" t="s">
        <v>606</v>
      </c>
      <c r="G15" s="136" t="s">
        <v>607</v>
      </c>
      <c r="H15" s="136" t="s">
        <v>562</v>
      </c>
      <c r="I15" s="136" t="s">
        <v>525</v>
      </c>
      <c r="J15" s="136" t="s">
        <v>579</v>
      </c>
      <c r="K15" s="174"/>
      <c r="L15" s="136" t="s">
        <v>527</v>
      </c>
      <c r="M15" s="138" t="s">
        <v>730</v>
      </c>
      <c r="N15" s="139"/>
      <c r="O15" s="140" t="s">
        <v>381</v>
      </c>
      <c r="P15" s="136"/>
      <c r="Q15" s="129">
        <v>2</v>
      </c>
      <c r="R15" s="137" t="s">
        <v>707</v>
      </c>
      <c r="S15" s="137"/>
      <c r="T15" s="141"/>
      <c r="U15" s="140"/>
      <c r="V15" s="136"/>
      <c r="W15" s="129"/>
      <c r="X15" s="137"/>
      <c r="Y15" s="137"/>
      <c r="Z15" s="141"/>
      <c r="AA15" s="140"/>
      <c r="AB15" s="136"/>
      <c r="AC15" s="129"/>
      <c r="AD15" s="137"/>
      <c r="AE15" s="137"/>
      <c r="AF15" s="141"/>
      <c r="AG15" s="140"/>
      <c r="AH15" s="136"/>
      <c r="AI15" s="129"/>
      <c r="AJ15" s="137"/>
      <c r="AK15" s="137"/>
      <c r="AL15" s="141"/>
      <c r="AM15" s="140"/>
      <c r="AN15" s="136"/>
      <c r="AO15" s="129"/>
      <c r="AP15" s="137"/>
      <c r="AQ15" s="137"/>
      <c r="AR15" s="141"/>
      <c r="AS15" s="140"/>
      <c r="AT15" s="136"/>
      <c r="AU15" s="129"/>
      <c r="AV15" s="137"/>
      <c r="AW15" s="137"/>
      <c r="AX15" s="141"/>
      <c r="AY15" s="140"/>
      <c r="AZ15" s="136"/>
      <c r="BA15" s="129"/>
      <c r="BB15" s="137"/>
      <c r="BC15" s="137"/>
      <c r="BD15" s="141"/>
      <c r="BE15" s="140"/>
      <c r="BF15" s="136"/>
      <c r="BG15" s="129"/>
      <c r="BH15" s="137"/>
      <c r="BI15" s="137"/>
      <c r="BJ15" s="141"/>
      <c r="BK15" s="140"/>
      <c r="BL15" s="136"/>
      <c r="BM15" s="129"/>
      <c r="BN15" s="137"/>
      <c r="BO15" s="137"/>
      <c r="BP15" s="141"/>
      <c r="BQ15" s="140"/>
      <c r="BR15" s="136"/>
      <c r="BS15" s="129"/>
      <c r="BT15" s="137"/>
      <c r="BU15" s="137"/>
      <c r="BV15" s="142"/>
    </row>
    <row r="16" spans="1:74">
      <c r="A16" s="135"/>
      <c r="B16" s="136" t="s">
        <v>15</v>
      </c>
      <c r="C16" s="137">
        <v>888</v>
      </c>
      <c r="D16" s="136" t="s">
        <v>608</v>
      </c>
      <c r="E16" s="137" t="s">
        <v>576</v>
      </c>
      <c r="F16" s="136" t="s">
        <v>609</v>
      </c>
      <c r="G16" s="136" t="s">
        <v>610</v>
      </c>
      <c r="H16" s="136" t="s">
        <v>562</v>
      </c>
      <c r="I16" s="136" t="s">
        <v>525</v>
      </c>
      <c r="J16" s="136" t="s">
        <v>579</v>
      </c>
      <c r="K16" s="174"/>
      <c r="L16" s="136" t="s">
        <v>527</v>
      </c>
      <c r="M16" s="138" t="s">
        <v>731</v>
      </c>
      <c r="N16" s="139"/>
      <c r="O16" s="140" t="s">
        <v>381</v>
      </c>
      <c r="P16" s="136"/>
      <c r="Q16" s="129">
        <v>2</v>
      </c>
      <c r="R16" s="137" t="s">
        <v>707</v>
      </c>
      <c r="S16" s="137"/>
      <c r="T16" s="141"/>
      <c r="U16" s="140"/>
      <c r="V16" s="136"/>
      <c r="W16" s="129"/>
      <c r="X16" s="137"/>
      <c r="Y16" s="137"/>
      <c r="Z16" s="141"/>
      <c r="AA16" s="140"/>
      <c r="AB16" s="136"/>
      <c r="AC16" s="129"/>
      <c r="AD16" s="137"/>
      <c r="AE16" s="137"/>
      <c r="AF16" s="141"/>
      <c r="AG16" s="140"/>
      <c r="AH16" s="136"/>
      <c r="AI16" s="129"/>
      <c r="AJ16" s="137"/>
      <c r="AK16" s="137"/>
      <c r="AL16" s="141"/>
      <c r="AM16" s="140"/>
      <c r="AN16" s="136"/>
      <c r="AO16" s="129"/>
      <c r="AP16" s="137"/>
      <c r="AQ16" s="137"/>
      <c r="AR16" s="141"/>
      <c r="AS16" s="140"/>
      <c r="AT16" s="136"/>
      <c r="AU16" s="129"/>
      <c r="AV16" s="137"/>
      <c r="AW16" s="137"/>
      <c r="AX16" s="141"/>
      <c r="AY16" s="140"/>
      <c r="AZ16" s="136"/>
      <c r="BA16" s="129"/>
      <c r="BB16" s="137"/>
      <c r="BC16" s="137"/>
      <c r="BD16" s="141"/>
      <c r="BE16" s="140"/>
      <c r="BF16" s="136"/>
      <c r="BG16" s="129"/>
      <c r="BH16" s="137"/>
      <c r="BI16" s="137"/>
      <c r="BJ16" s="141"/>
      <c r="BK16" s="140"/>
      <c r="BL16" s="136"/>
      <c r="BM16" s="129"/>
      <c r="BN16" s="137"/>
      <c r="BO16" s="137"/>
      <c r="BP16" s="141"/>
      <c r="BQ16" s="140"/>
      <c r="BR16" s="136"/>
      <c r="BS16" s="129"/>
      <c r="BT16" s="137"/>
      <c r="BU16" s="137"/>
      <c r="BV16" s="142"/>
    </row>
    <row r="17" spans="1:74">
      <c r="A17" s="135"/>
      <c r="B17" s="136" t="s">
        <v>15</v>
      </c>
      <c r="C17" s="137">
        <v>67</v>
      </c>
      <c r="D17" s="136" t="s">
        <v>611</v>
      </c>
      <c r="E17" s="137" t="s">
        <v>570</v>
      </c>
      <c r="F17" s="136" t="s">
        <v>612</v>
      </c>
      <c r="G17" s="136" t="s">
        <v>613</v>
      </c>
      <c r="H17" s="136" t="s">
        <v>562</v>
      </c>
      <c r="I17" s="136" t="s">
        <v>525</v>
      </c>
      <c r="J17" s="136" t="s">
        <v>579</v>
      </c>
      <c r="K17" s="174"/>
      <c r="L17" s="136" t="s">
        <v>527</v>
      </c>
      <c r="M17" s="138" t="s">
        <v>732</v>
      </c>
      <c r="N17" s="139"/>
      <c r="O17" s="140" t="s">
        <v>381</v>
      </c>
      <c r="P17" s="136"/>
      <c r="Q17" s="129">
        <v>2</v>
      </c>
      <c r="R17" s="137" t="s">
        <v>707</v>
      </c>
      <c r="S17" s="137"/>
      <c r="T17" s="141"/>
      <c r="U17" s="140"/>
      <c r="V17" s="136"/>
      <c r="W17" s="129"/>
      <c r="X17" s="137"/>
      <c r="Y17" s="137"/>
      <c r="Z17" s="141"/>
      <c r="AA17" s="140"/>
      <c r="AB17" s="136"/>
      <c r="AC17" s="129"/>
      <c r="AD17" s="137"/>
      <c r="AE17" s="137"/>
      <c r="AF17" s="141"/>
      <c r="AG17" s="140"/>
      <c r="AH17" s="136"/>
      <c r="AI17" s="129"/>
      <c r="AJ17" s="137"/>
      <c r="AK17" s="137"/>
      <c r="AL17" s="141"/>
      <c r="AM17" s="140"/>
      <c r="AN17" s="136"/>
      <c r="AO17" s="129"/>
      <c r="AP17" s="137"/>
      <c r="AQ17" s="137"/>
      <c r="AR17" s="141"/>
      <c r="AS17" s="140"/>
      <c r="AT17" s="136"/>
      <c r="AU17" s="129"/>
      <c r="AV17" s="137"/>
      <c r="AW17" s="137"/>
      <c r="AX17" s="141"/>
      <c r="AY17" s="140"/>
      <c r="AZ17" s="136"/>
      <c r="BA17" s="129"/>
      <c r="BB17" s="137"/>
      <c r="BC17" s="137"/>
      <c r="BD17" s="141"/>
      <c r="BE17" s="140"/>
      <c r="BF17" s="136"/>
      <c r="BG17" s="129"/>
      <c r="BH17" s="137"/>
      <c r="BI17" s="137"/>
      <c r="BJ17" s="141"/>
      <c r="BK17" s="140"/>
      <c r="BL17" s="136"/>
      <c r="BM17" s="129"/>
      <c r="BN17" s="137"/>
      <c r="BO17" s="137"/>
      <c r="BP17" s="141"/>
      <c r="BQ17" s="140"/>
      <c r="BR17" s="136"/>
      <c r="BS17" s="129"/>
      <c r="BT17" s="137"/>
      <c r="BU17" s="137"/>
      <c r="BV17" s="142"/>
    </row>
    <row r="18" spans="1:74">
      <c r="A18" s="135"/>
      <c r="B18" s="136" t="s">
        <v>15</v>
      </c>
      <c r="C18" s="137">
        <v>69</v>
      </c>
      <c r="D18" s="136" t="s">
        <v>614</v>
      </c>
      <c r="E18" s="137" t="s">
        <v>570</v>
      </c>
      <c r="F18" s="136" t="s">
        <v>615</v>
      </c>
      <c r="G18" s="136" t="s">
        <v>616</v>
      </c>
      <c r="H18" s="136" t="s">
        <v>562</v>
      </c>
      <c r="I18" s="136" t="s">
        <v>525</v>
      </c>
      <c r="J18" s="136" t="s">
        <v>579</v>
      </c>
      <c r="K18" s="174"/>
      <c r="L18" s="136" t="s">
        <v>527</v>
      </c>
      <c r="M18" s="138" t="s">
        <v>733</v>
      </c>
      <c r="N18" s="139"/>
      <c r="O18" s="140" t="s">
        <v>381</v>
      </c>
      <c r="P18" s="136"/>
      <c r="Q18" s="129">
        <v>2</v>
      </c>
      <c r="R18" s="137" t="s">
        <v>707</v>
      </c>
      <c r="S18" s="137"/>
      <c r="T18" s="141"/>
      <c r="U18" s="140"/>
      <c r="V18" s="136"/>
      <c r="W18" s="129"/>
      <c r="X18" s="137"/>
      <c r="Y18" s="137"/>
      <c r="Z18" s="141"/>
      <c r="AA18" s="140"/>
      <c r="AB18" s="136"/>
      <c r="AC18" s="129"/>
      <c r="AD18" s="137"/>
      <c r="AE18" s="137"/>
      <c r="AF18" s="141"/>
      <c r="AG18" s="140"/>
      <c r="AH18" s="136"/>
      <c r="AI18" s="129"/>
      <c r="AJ18" s="137"/>
      <c r="AK18" s="137"/>
      <c r="AL18" s="141"/>
      <c r="AM18" s="140"/>
      <c r="AN18" s="136"/>
      <c r="AO18" s="129"/>
      <c r="AP18" s="137"/>
      <c r="AQ18" s="137"/>
      <c r="AR18" s="141"/>
      <c r="AS18" s="140"/>
      <c r="AT18" s="136"/>
      <c r="AU18" s="129"/>
      <c r="AV18" s="137"/>
      <c r="AW18" s="137"/>
      <c r="AX18" s="141"/>
      <c r="AY18" s="140"/>
      <c r="AZ18" s="136"/>
      <c r="BA18" s="129"/>
      <c r="BB18" s="137"/>
      <c r="BC18" s="137"/>
      <c r="BD18" s="141"/>
      <c r="BE18" s="140"/>
      <c r="BF18" s="136"/>
      <c r="BG18" s="129"/>
      <c r="BH18" s="137"/>
      <c r="BI18" s="137"/>
      <c r="BJ18" s="141"/>
      <c r="BK18" s="140"/>
      <c r="BL18" s="136"/>
      <c r="BM18" s="129"/>
      <c r="BN18" s="137"/>
      <c r="BO18" s="137"/>
      <c r="BP18" s="141"/>
      <c r="BQ18" s="140"/>
      <c r="BR18" s="136"/>
      <c r="BS18" s="129"/>
      <c r="BT18" s="137"/>
      <c r="BU18" s="137"/>
      <c r="BV18" s="142"/>
    </row>
    <row r="19" spans="1:74">
      <c r="A19" s="135"/>
      <c r="B19" s="136" t="s">
        <v>15</v>
      </c>
      <c r="C19" s="137">
        <v>1728</v>
      </c>
      <c r="D19" s="136" t="s">
        <v>617</v>
      </c>
      <c r="E19" s="137" t="s">
        <v>590</v>
      </c>
      <c r="F19" s="136" t="s">
        <v>618</v>
      </c>
      <c r="G19" s="136" t="s">
        <v>619</v>
      </c>
      <c r="H19" s="136" t="s">
        <v>562</v>
      </c>
      <c r="I19" s="136" t="s">
        <v>525</v>
      </c>
      <c r="J19" s="136" t="s">
        <v>579</v>
      </c>
      <c r="K19" s="174"/>
      <c r="L19" s="136" t="s">
        <v>527</v>
      </c>
      <c r="M19" s="138" t="s">
        <v>734</v>
      </c>
      <c r="N19" s="139"/>
      <c r="O19" s="140" t="s">
        <v>381</v>
      </c>
      <c r="P19" s="136"/>
      <c r="Q19" s="129">
        <v>2</v>
      </c>
      <c r="R19" s="137" t="s">
        <v>707</v>
      </c>
      <c r="S19" s="137"/>
      <c r="T19" s="141"/>
      <c r="U19" s="140"/>
      <c r="V19" s="136"/>
      <c r="W19" s="129"/>
      <c r="X19" s="137"/>
      <c r="Y19" s="137"/>
      <c r="Z19" s="141"/>
      <c r="AA19" s="140"/>
      <c r="AB19" s="136"/>
      <c r="AC19" s="129"/>
      <c r="AD19" s="137"/>
      <c r="AE19" s="137"/>
      <c r="AF19" s="141"/>
      <c r="AG19" s="140"/>
      <c r="AH19" s="136"/>
      <c r="AI19" s="129"/>
      <c r="AJ19" s="137"/>
      <c r="AK19" s="137"/>
      <c r="AL19" s="141"/>
      <c r="AM19" s="140"/>
      <c r="AN19" s="136"/>
      <c r="AO19" s="129"/>
      <c r="AP19" s="137"/>
      <c r="AQ19" s="137"/>
      <c r="AR19" s="141"/>
      <c r="AS19" s="140"/>
      <c r="AT19" s="136"/>
      <c r="AU19" s="129"/>
      <c r="AV19" s="137"/>
      <c r="AW19" s="137"/>
      <c r="AX19" s="141"/>
      <c r="AY19" s="140"/>
      <c r="AZ19" s="136"/>
      <c r="BA19" s="129"/>
      <c r="BB19" s="137"/>
      <c r="BC19" s="137"/>
      <c r="BD19" s="141"/>
      <c r="BE19" s="140"/>
      <c r="BF19" s="136"/>
      <c r="BG19" s="129"/>
      <c r="BH19" s="137"/>
      <c r="BI19" s="137"/>
      <c r="BJ19" s="141"/>
      <c r="BK19" s="140"/>
      <c r="BL19" s="136"/>
      <c r="BM19" s="129"/>
      <c r="BN19" s="137"/>
      <c r="BO19" s="137"/>
      <c r="BP19" s="141"/>
      <c r="BQ19" s="140"/>
      <c r="BR19" s="136"/>
      <c r="BS19" s="129"/>
      <c r="BT19" s="137"/>
      <c r="BU19" s="137"/>
      <c r="BV19" s="142"/>
    </row>
    <row r="20" spans="1:74">
      <c r="A20" s="135"/>
      <c r="B20" s="136" t="s">
        <v>15</v>
      </c>
      <c r="C20" s="137">
        <v>68</v>
      </c>
      <c r="D20" s="136" t="s">
        <v>620</v>
      </c>
      <c r="E20" s="137" t="s">
        <v>570</v>
      </c>
      <c r="F20" s="136" t="s">
        <v>621</v>
      </c>
      <c r="G20" s="136" t="s">
        <v>622</v>
      </c>
      <c r="H20" s="136" t="s">
        <v>562</v>
      </c>
      <c r="I20" s="136" t="s">
        <v>525</v>
      </c>
      <c r="J20" s="136" t="s">
        <v>579</v>
      </c>
      <c r="K20" s="174"/>
      <c r="L20" s="136" t="s">
        <v>527</v>
      </c>
      <c r="M20" s="138" t="s">
        <v>735</v>
      </c>
      <c r="N20" s="139"/>
      <c r="O20" s="140" t="s">
        <v>381</v>
      </c>
      <c r="P20" s="136"/>
      <c r="Q20" s="129">
        <v>2</v>
      </c>
      <c r="R20" s="137" t="s">
        <v>708</v>
      </c>
      <c r="S20" s="137"/>
      <c r="T20" s="141"/>
      <c r="U20" s="140"/>
      <c r="V20" s="136"/>
      <c r="W20" s="129"/>
      <c r="X20" s="137"/>
      <c r="Y20" s="137"/>
      <c r="Z20" s="141"/>
      <c r="AA20" s="140"/>
      <c r="AB20" s="136"/>
      <c r="AC20" s="129"/>
      <c r="AD20" s="137"/>
      <c r="AE20" s="137"/>
      <c r="AF20" s="141"/>
      <c r="AG20" s="140"/>
      <c r="AH20" s="136"/>
      <c r="AI20" s="129"/>
      <c r="AJ20" s="137"/>
      <c r="AK20" s="137"/>
      <c r="AL20" s="141"/>
      <c r="AM20" s="140"/>
      <c r="AN20" s="136"/>
      <c r="AO20" s="129"/>
      <c r="AP20" s="137"/>
      <c r="AQ20" s="137"/>
      <c r="AR20" s="141"/>
      <c r="AS20" s="140"/>
      <c r="AT20" s="136"/>
      <c r="AU20" s="129"/>
      <c r="AV20" s="137"/>
      <c r="AW20" s="137"/>
      <c r="AX20" s="141"/>
      <c r="AY20" s="140"/>
      <c r="AZ20" s="136"/>
      <c r="BA20" s="129"/>
      <c r="BB20" s="137"/>
      <c r="BC20" s="137"/>
      <c r="BD20" s="141"/>
      <c r="BE20" s="140"/>
      <c r="BF20" s="136"/>
      <c r="BG20" s="129"/>
      <c r="BH20" s="137"/>
      <c r="BI20" s="137"/>
      <c r="BJ20" s="141"/>
      <c r="BK20" s="140"/>
      <c r="BL20" s="136"/>
      <c r="BM20" s="129"/>
      <c r="BN20" s="137"/>
      <c r="BO20" s="137"/>
      <c r="BP20" s="141"/>
      <c r="BQ20" s="140"/>
      <c r="BR20" s="136"/>
      <c r="BS20" s="129"/>
      <c r="BT20" s="137"/>
      <c r="BU20" s="137"/>
      <c r="BV20" s="142"/>
    </row>
    <row r="21" spans="1:74">
      <c r="A21" s="135"/>
      <c r="B21" s="136" t="s">
        <v>15</v>
      </c>
      <c r="C21" s="137">
        <v>898</v>
      </c>
      <c r="D21" s="136" t="s">
        <v>623</v>
      </c>
      <c r="E21" s="137" t="s">
        <v>576</v>
      </c>
      <c r="F21" s="136" t="s">
        <v>624</v>
      </c>
      <c r="G21" s="136" t="s">
        <v>625</v>
      </c>
      <c r="H21" s="136" t="s">
        <v>562</v>
      </c>
      <c r="I21" s="136" t="s">
        <v>525</v>
      </c>
      <c r="J21" s="136" t="s">
        <v>579</v>
      </c>
      <c r="K21" s="174"/>
      <c r="L21" s="136" t="s">
        <v>527</v>
      </c>
      <c r="M21" s="138" t="s">
        <v>736</v>
      </c>
      <c r="N21" s="139"/>
      <c r="O21" s="140" t="s">
        <v>381</v>
      </c>
      <c r="P21" s="136"/>
      <c r="Q21" s="129">
        <v>2</v>
      </c>
      <c r="R21" s="137" t="s">
        <v>709</v>
      </c>
      <c r="S21" s="137"/>
      <c r="T21" s="141"/>
      <c r="U21" s="140"/>
      <c r="V21" s="136"/>
      <c r="W21" s="129"/>
      <c r="X21" s="137"/>
      <c r="Y21" s="137"/>
      <c r="Z21" s="141"/>
      <c r="AA21" s="140"/>
      <c r="AB21" s="136"/>
      <c r="AC21" s="129"/>
      <c r="AD21" s="137"/>
      <c r="AE21" s="137"/>
      <c r="AF21" s="141"/>
      <c r="AG21" s="140"/>
      <c r="AH21" s="136"/>
      <c r="AI21" s="129"/>
      <c r="AJ21" s="137"/>
      <c r="AK21" s="137"/>
      <c r="AL21" s="141"/>
      <c r="AM21" s="140"/>
      <c r="AN21" s="136"/>
      <c r="AO21" s="129"/>
      <c r="AP21" s="137"/>
      <c r="AQ21" s="137"/>
      <c r="AR21" s="141"/>
      <c r="AS21" s="140"/>
      <c r="AT21" s="136"/>
      <c r="AU21" s="129"/>
      <c r="AV21" s="137"/>
      <c r="AW21" s="137"/>
      <c r="AX21" s="141"/>
      <c r="AY21" s="140"/>
      <c r="AZ21" s="136"/>
      <c r="BA21" s="129"/>
      <c r="BB21" s="137"/>
      <c r="BC21" s="137"/>
      <c r="BD21" s="141"/>
      <c r="BE21" s="140"/>
      <c r="BF21" s="136"/>
      <c r="BG21" s="129"/>
      <c r="BH21" s="137"/>
      <c r="BI21" s="137"/>
      <c r="BJ21" s="141"/>
      <c r="BK21" s="140"/>
      <c r="BL21" s="136"/>
      <c r="BM21" s="129"/>
      <c r="BN21" s="137"/>
      <c r="BO21" s="137"/>
      <c r="BP21" s="141"/>
      <c r="BQ21" s="140"/>
      <c r="BR21" s="136"/>
      <c r="BS21" s="129"/>
      <c r="BT21" s="137"/>
      <c r="BU21" s="137"/>
      <c r="BV21" s="142"/>
    </row>
    <row r="22" spans="1:74">
      <c r="A22" s="135"/>
      <c r="B22" s="136" t="s">
        <v>15</v>
      </c>
      <c r="C22" s="137">
        <v>1726</v>
      </c>
      <c r="D22" s="136" t="s">
        <v>626</v>
      </c>
      <c r="E22" s="137" t="s">
        <v>590</v>
      </c>
      <c r="F22" s="136" t="s">
        <v>627</v>
      </c>
      <c r="G22" s="136" t="s">
        <v>628</v>
      </c>
      <c r="H22" s="136" t="s">
        <v>562</v>
      </c>
      <c r="I22" s="136" t="s">
        <v>525</v>
      </c>
      <c r="J22" s="136" t="s">
        <v>579</v>
      </c>
      <c r="K22" s="174"/>
      <c r="L22" s="136" t="s">
        <v>527</v>
      </c>
      <c r="M22" s="138" t="s">
        <v>737</v>
      </c>
      <c r="N22" s="139"/>
      <c r="O22" s="140" t="s">
        <v>381</v>
      </c>
      <c r="P22" s="136"/>
      <c r="Q22" s="129">
        <v>2</v>
      </c>
      <c r="R22" s="137" t="s">
        <v>709</v>
      </c>
      <c r="S22" s="137"/>
      <c r="T22" s="141"/>
      <c r="U22" s="140"/>
      <c r="V22" s="136"/>
      <c r="W22" s="129"/>
      <c r="X22" s="137"/>
      <c r="Y22" s="137"/>
      <c r="Z22" s="141"/>
      <c r="AA22" s="140"/>
      <c r="AB22" s="136"/>
      <c r="AC22" s="129"/>
      <c r="AD22" s="137"/>
      <c r="AE22" s="137"/>
      <c r="AF22" s="141"/>
      <c r="AG22" s="140"/>
      <c r="AH22" s="136"/>
      <c r="AI22" s="129"/>
      <c r="AJ22" s="137"/>
      <c r="AK22" s="137"/>
      <c r="AL22" s="141"/>
      <c r="AM22" s="140"/>
      <c r="AN22" s="136"/>
      <c r="AO22" s="129"/>
      <c r="AP22" s="137"/>
      <c r="AQ22" s="137"/>
      <c r="AR22" s="141"/>
      <c r="AS22" s="140"/>
      <c r="AT22" s="136"/>
      <c r="AU22" s="129"/>
      <c r="AV22" s="137"/>
      <c r="AW22" s="137"/>
      <c r="AX22" s="141"/>
      <c r="AY22" s="140"/>
      <c r="AZ22" s="136"/>
      <c r="BA22" s="129"/>
      <c r="BB22" s="137"/>
      <c r="BC22" s="137"/>
      <c r="BD22" s="141"/>
      <c r="BE22" s="140"/>
      <c r="BF22" s="136"/>
      <c r="BG22" s="129"/>
      <c r="BH22" s="137"/>
      <c r="BI22" s="137"/>
      <c r="BJ22" s="141"/>
      <c r="BK22" s="140"/>
      <c r="BL22" s="136"/>
      <c r="BM22" s="129"/>
      <c r="BN22" s="137"/>
      <c r="BO22" s="137"/>
      <c r="BP22" s="141"/>
      <c r="BQ22" s="140"/>
      <c r="BR22" s="136"/>
      <c r="BS22" s="129"/>
      <c r="BT22" s="137"/>
      <c r="BU22" s="137"/>
      <c r="BV22" s="142"/>
    </row>
    <row r="23" spans="1:74">
      <c r="A23" s="135"/>
      <c r="B23" s="136" t="s">
        <v>15</v>
      </c>
      <c r="C23" s="137">
        <v>1725</v>
      </c>
      <c r="D23" s="136" t="s">
        <v>629</v>
      </c>
      <c r="E23" s="137" t="s">
        <v>590</v>
      </c>
      <c r="F23" s="136" t="s">
        <v>630</v>
      </c>
      <c r="G23" s="136" t="s">
        <v>631</v>
      </c>
      <c r="H23" s="136" t="s">
        <v>562</v>
      </c>
      <c r="I23" s="136" t="s">
        <v>525</v>
      </c>
      <c r="J23" s="136" t="s">
        <v>579</v>
      </c>
      <c r="K23" s="174"/>
      <c r="L23" s="136" t="s">
        <v>527</v>
      </c>
      <c r="M23" s="138" t="s">
        <v>738</v>
      </c>
      <c r="N23" s="139"/>
      <c r="O23" s="140" t="s">
        <v>381</v>
      </c>
      <c r="P23" s="136"/>
      <c r="Q23" s="129">
        <v>2</v>
      </c>
      <c r="R23" s="137" t="s">
        <v>710</v>
      </c>
      <c r="S23" s="137"/>
      <c r="T23" s="141"/>
      <c r="U23" s="140"/>
      <c r="V23" s="136"/>
      <c r="W23" s="129"/>
      <c r="X23" s="137"/>
      <c r="Y23" s="137"/>
      <c r="Z23" s="141"/>
      <c r="AA23" s="140"/>
      <c r="AB23" s="136"/>
      <c r="AC23" s="129"/>
      <c r="AD23" s="137"/>
      <c r="AE23" s="137"/>
      <c r="AF23" s="141"/>
      <c r="AG23" s="140"/>
      <c r="AH23" s="136"/>
      <c r="AI23" s="129"/>
      <c r="AJ23" s="137"/>
      <c r="AK23" s="137"/>
      <c r="AL23" s="141"/>
      <c r="AM23" s="140"/>
      <c r="AN23" s="136"/>
      <c r="AO23" s="129"/>
      <c r="AP23" s="137"/>
      <c r="AQ23" s="137"/>
      <c r="AR23" s="141"/>
      <c r="AS23" s="140"/>
      <c r="AT23" s="136"/>
      <c r="AU23" s="129"/>
      <c r="AV23" s="137"/>
      <c r="AW23" s="137"/>
      <c r="AX23" s="141"/>
      <c r="AY23" s="140"/>
      <c r="AZ23" s="136"/>
      <c r="BA23" s="129"/>
      <c r="BB23" s="137"/>
      <c r="BC23" s="137"/>
      <c r="BD23" s="141"/>
      <c r="BE23" s="140"/>
      <c r="BF23" s="136"/>
      <c r="BG23" s="129"/>
      <c r="BH23" s="137"/>
      <c r="BI23" s="137"/>
      <c r="BJ23" s="141"/>
      <c r="BK23" s="140"/>
      <c r="BL23" s="136"/>
      <c r="BM23" s="129"/>
      <c r="BN23" s="137"/>
      <c r="BO23" s="137"/>
      <c r="BP23" s="141"/>
      <c r="BQ23" s="140"/>
      <c r="BR23" s="136"/>
      <c r="BS23" s="129"/>
      <c r="BT23" s="137"/>
      <c r="BU23" s="137"/>
      <c r="BV23" s="142"/>
    </row>
    <row r="24" spans="1:74">
      <c r="A24" s="135"/>
      <c r="B24" s="136" t="s">
        <v>15</v>
      </c>
      <c r="C24" s="137">
        <v>1729</v>
      </c>
      <c r="D24" s="136" t="s">
        <v>632</v>
      </c>
      <c r="E24" s="137" t="s">
        <v>590</v>
      </c>
      <c r="F24" s="136" t="s">
        <v>633</v>
      </c>
      <c r="G24" s="136" t="s">
        <v>634</v>
      </c>
      <c r="H24" s="136" t="s">
        <v>562</v>
      </c>
      <c r="I24" s="136" t="s">
        <v>525</v>
      </c>
      <c r="J24" s="136" t="s">
        <v>579</v>
      </c>
      <c r="K24" s="174"/>
      <c r="L24" s="136" t="s">
        <v>527</v>
      </c>
      <c r="M24" s="138" t="s">
        <v>739</v>
      </c>
      <c r="N24" s="139"/>
      <c r="O24" s="140" t="s">
        <v>381</v>
      </c>
      <c r="P24" s="136"/>
      <c r="Q24" s="129">
        <v>2</v>
      </c>
      <c r="R24" s="137" t="s">
        <v>710</v>
      </c>
      <c r="S24" s="137"/>
      <c r="T24" s="141"/>
      <c r="U24" s="140"/>
      <c r="V24" s="136"/>
      <c r="W24" s="129"/>
      <c r="X24" s="137"/>
      <c r="Y24" s="137"/>
      <c r="Z24" s="141"/>
      <c r="AA24" s="140"/>
      <c r="AB24" s="136"/>
      <c r="AC24" s="129"/>
      <c r="AD24" s="137"/>
      <c r="AE24" s="137"/>
      <c r="AF24" s="141"/>
      <c r="AG24" s="140"/>
      <c r="AH24" s="136"/>
      <c r="AI24" s="129"/>
      <c r="AJ24" s="137"/>
      <c r="AK24" s="137"/>
      <c r="AL24" s="141"/>
      <c r="AM24" s="140"/>
      <c r="AN24" s="136"/>
      <c r="AO24" s="129"/>
      <c r="AP24" s="137"/>
      <c r="AQ24" s="137"/>
      <c r="AR24" s="141"/>
      <c r="AS24" s="140"/>
      <c r="AT24" s="136"/>
      <c r="AU24" s="129"/>
      <c r="AV24" s="137"/>
      <c r="AW24" s="137"/>
      <c r="AX24" s="141"/>
      <c r="AY24" s="140"/>
      <c r="AZ24" s="136"/>
      <c r="BA24" s="129"/>
      <c r="BB24" s="137"/>
      <c r="BC24" s="137"/>
      <c r="BD24" s="141"/>
      <c r="BE24" s="140"/>
      <c r="BF24" s="136"/>
      <c r="BG24" s="129"/>
      <c r="BH24" s="137"/>
      <c r="BI24" s="137"/>
      <c r="BJ24" s="141"/>
      <c r="BK24" s="140"/>
      <c r="BL24" s="136"/>
      <c r="BM24" s="129"/>
      <c r="BN24" s="137"/>
      <c r="BO24" s="137"/>
      <c r="BP24" s="141"/>
      <c r="BQ24" s="140"/>
      <c r="BR24" s="136"/>
      <c r="BS24" s="129"/>
      <c r="BT24" s="137"/>
      <c r="BU24" s="137"/>
      <c r="BV24" s="142"/>
    </row>
    <row r="25" spans="1:74">
      <c r="A25" s="135"/>
      <c r="B25" s="136" t="s">
        <v>15</v>
      </c>
      <c r="C25" s="137">
        <v>1722</v>
      </c>
      <c r="D25" s="136" t="s">
        <v>635</v>
      </c>
      <c r="E25" s="137" t="s">
        <v>590</v>
      </c>
      <c r="F25" s="136" t="s">
        <v>636</v>
      </c>
      <c r="G25" s="136" t="s">
        <v>637</v>
      </c>
      <c r="H25" s="136" t="s">
        <v>562</v>
      </c>
      <c r="I25" s="136" t="s">
        <v>525</v>
      </c>
      <c r="J25" s="136" t="s">
        <v>579</v>
      </c>
      <c r="K25" s="174"/>
      <c r="L25" s="136" t="s">
        <v>527</v>
      </c>
      <c r="M25" s="138" t="s">
        <v>740</v>
      </c>
      <c r="N25" s="139"/>
      <c r="O25" s="140" t="s">
        <v>381</v>
      </c>
      <c r="P25" s="136"/>
      <c r="Q25" s="129">
        <v>2</v>
      </c>
      <c r="R25" s="137" t="s">
        <v>711</v>
      </c>
      <c r="S25" s="137"/>
      <c r="T25" s="141"/>
      <c r="U25" s="140"/>
      <c r="V25" s="136"/>
      <c r="W25" s="129"/>
      <c r="X25" s="137"/>
      <c r="Y25" s="137"/>
      <c r="Z25" s="141"/>
      <c r="AA25" s="140"/>
      <c r="AB25" s="136"/>
      <c r="AC25" s="129"/>
      <c r="AD25" s="137"/>
      <c r="AE25" s="137"/>
      <c r="AF25" s="141"/>
      <c r="AG25" s="140"/>
      <c r="AH25" s="136"/>
      <c r="AI25" s="129"/>
      <c r="AJ25" s="137"/>
      <c r="AK25" s="137"/>
      <c r="AL25" s="141"/>
      <c r="AM25" s="140"/>
      <c r="AN25" s="136"/>
      <c r="AO25" s="129"/>
      <c r="AP25" s="137"/>
      <c r="AQ25" s="137"/>
      <c r="AR25" s="141"/>
      <c r="AS25" s="140"/>
      <c r="AT25" s="136"/>
      <c r="AU25" s="129"/>
      <c r="AV25" s="137"/>
      <c r="AW25" s="137"/>
      <c r="AX25" s="141"/>
      <c r="AY25" s="140"/>
      <c r="AZ25" s="136"/>
      <c r="BA25" s="129"/>
      <c r="BB25" s="137"/>
      <c r="BC25" s="137"/>
      <c r="BD25" s="141"/>
      <c r="BE25" s="140"/>
      <c r="BF25" s="136"/>
      <c r="BG25" s="129"/>
      <c r="BH25" s="137"/>
      <c r="BI25" s="137"/>
      <c r="BJ25" s="141"/>
      <c r="BK25" s="140"/>
      <c r="BL25" s="136"/>
      <c r="BM25" s="129"/>
      <c r="BN25" s="137"/>
      <c r="BO25" s="137"/>
      <c r="BP25" s="141"/>
      <c r="BQ25" s="140"/>
      <c r="BR25" s="136"/>
      <c r="BS25" s="129"/>
      <c r="BT25" s="137"/>
      <c r="BU25" s="137"/>
      <c r="BV25" s="142"/>
    </row>
    <row r="26" spans="1:74">
      <c r="A26" s="135"/>
      <c r="B26" s="136" t="s">
        <v>15</v>
      </c>
      <c r="C26" s="137">
        <v>1721</v>
      </c>
      <c r="D26" s="136" t="s">
        <v>638</v>
      </c>
      <c r="E26" s="137" t="s">
        <v>590</v>
      </c>
      <c r="F26" s="136" t="s">
        <v>639</v>
      </c>
      <c r="G26" s="136" t="s">
        <v>640</v>
      </c>
      <c r="H26" s="136" t="s">
        <v>562</v>
      </c>
      <c r="I26" s="136" t="s">
        <v>525</v>
      </c>
      <c r="J26" s="136" t="s">
        <v>579</v>
      </c>
      <c r="K26" s="174"/>
      <c r="L26" s="136" t="s">
        <v>527</v>
      </c>
      <c r="M26" s="138" t="s">
        <v>741</v>
      </c>
      <c r="N26" s="139"/>
      <c r="O26" s="140" t="s">
        <v>381</v>
      </c>
      <c r="P26" s="136"/>
      <c r="Q26" s="129">
        <v>2</v>
      </c>
      <c r="R26" s="137" t="s">
        <v>712</v>
      </c>
      <c r="S26" s="137"/>
      <c r="T26" s="141"/>
      <c r="U26" s="140"/>
      <c r="V26" s="136"/>
      <c r="W26" s="129"/>
      <c r="X26" s="137"/>
      <c r="Y26" s="137"/>
      <c r="Z26" s="141"/>
      <c r="AA26" s="140"/>
      <c r="AB26" s="136"/>
      <c r="AC26" s="129"/>
      <c r="AD26" s="137"/>
      <c r="AE26" s="137"/>
      <c r="AF26" s="141"/>
      <c r="AG26" s="140"/>
      <c r="AH26" s="136"/>
      <c r="AI26" s="129"/>
      <c r="AJ26" s="137"/>
      <c r="AK26" s="137"/>
      <c r="AL26" s="141"/>
      <c r="AM26" s="140"/>
      <c r="AN26" s="136"/>
      <c r="AO26" s="129"/>
      <c r="AP26" s="137"/>
      <c r="AQ26" s="137"/>
      <c r="AR26" s="141"/>
      <c r="AS26" s="140"/>
      <c r="AT26" s="136"/>
      <c r="AU26" s="129"/>
      <c r="AV26" s="137"/>
      <c r="AW26" s="137"/>
      <c r="AX26" s="141"/>
      <c r="AY26" s="140"/>
      <c r="AZ26" s="136"/>
      <c r="BA26" s="129"/>
      <c r="BB26" s="137"/>
      <c r="BC26" s="137"/>
      <c r="BD26" s="141"/>
      <c r="BE26" s="140"/>
      <c r="BF26" s="136"/>
      <c r="BG26" s="129"/>
      <c r="BH26" s="137"/>
      <c r="BI26" s="137"/>
      <c r="BJ26" s="141"/>
      <c r="BK26" s="140"/>
      <c r="BL26" s="136"/>
      <c r="BM26" s="129"/>
      <c r="BN26" s="137"/>
      <c r="BO26" s="137"/>
      <c r="BP26" s="141"/>
      <c r="BQ26" s="140"/>
      <c r="BR26" s="136"/>
      <c r="BS26" s="129"/>
      <c r="BT26" s="137"/>
      <c r="BU26" s="137"/>
      <c r="BV26" s="142"/>
    </row>
    <row r="27" spans="1:74">
      <c r="A27" s="135"/>
      <c r="B27" s="136" t="s">
        <v>15</v>
      </c>
      <c r="C27" s="137">
        <v>897</v>
      </c>
      <c r="D27" s="136" t="s">
        <v>641</v>
      </c>
      <c r="E27" s="137" t="s">
        <v>576</v>
      </c>
      <c r="F27" s="136" t="s">
        <v>642</v>
      </c>
      <c r="G27" s="136" t="s">
        <v>643</v>
      </c>
      <c r="H27" s="136" t="s">
        <v>562</v>
      </c>
      <c r="I27" s="136" t="s">
        <v>525</v>
      </c>
      <c r="J27" s="136" t="s">
        <v>579</v>
      </c>
      <c r="K27" s="174"/>
      <c r="L27" s="136" t="s">
        <v>527</v>
      </c>
      <c r="M27" s="138" t="s">
        <v>742</v>
      </c>
      <c r="N27" s="139"/>
      <c r="O27" s="140" t="s">
        <v>381</v>
      </c>
      <c r="P27" s="136"/>
      <c r="Q27" s="129">
        <v>2</v>
      </c>
      <c r="R27" s="137" t="s">
        <v>713</v>
      </c>
      <c r="S27" s="137"/>
      <c r="T27" s="141"/>
      <c r="U27" s="140"/>
      <c r="V27" s="136"/>
      <c r="W27" s="129"/>
      <c r="X27" s="137"/>
      <c r="Y27" s="137"/>
      <c r="Z27" s="141"/>
      <c r="AA27" s="140"/>
      <c r="AB27" s="136"/>
      <c r="AC27" s="129"/>
      <c r="AD27" s="137"/>
      <c r="AE27" s="137"/>
      <c r="AF27" s="141"/>
      <c r="AG27" s="140"/>
      <c r="AH27" s="136"/>
      <c r="AI27" s="129"/>
      <c r="AJ27" s="137"/>
      <c r="AK27" s="137"/>
      <c r="AL27" s="141"/>
      <c r="AM27" s="140"/>
      <c r="AN27" s="136"/>
      <c r="AO27" s="129"/>
      <c r="AP27" s="137"/>
      <c r="AQ27" s="137"/>
      <c r="AR27" s="141"/>
      <c r="AS27" s="140"/>
      <c r="AT27" s="136"/>
      <c r="AU27" s="129"/>
      <c r="AV27" s="137"/>
      <c r="AW27" s="137"/>
      <c r="AX27" s="141"/>
      <c r="AY27" s="140"/>
      <c r="AZ27" s="136"/>
      <c r="BA27" s="129"/>
      <c r="BB27" s="137"/>
      <c r="BC27" s="137"/>
      <c r="BD27" s="141"/>
      <c r="BE27" s="140"/>
      <c r="BF27" s="136"/>
      <c r="BG27" s="129"/>
      <c r="BH27" s="137"/>
      <c r="BI27" s="137"/>
      <c r="BJ27" s="141"/>
      <c r="BK27" s="140"/>
      <c r="BL27" s="136"/>
      <c r="BM27" s="129"/>
      <c r="BN27" s="137"/>
      <c r="BO27" s="137"/>
      <c r="BP27" s="141"/>
      <c r="BQ27" s="140"/>
      <c r="BR27" s="136"/>
      <c r="BS27" s="129"/>
      <c r="BT27" s="137"/>
      <c r="BU27" s="137"/>
      <c r="BV27" s="142"/>
    </row>
    <row r="28" spans="1:74">
      <c r="A28" s="135"/>
      <c r="B28" s="136" t="s">
        <v>15</v>
      </c>
      <c r="C28" s="137">
        <v>1733</v>
      </c>
      <c r="D28" s="136" t="s">
        <v>644</v>
      </c>
      <c r="E28" s="137" t="s">
        <v>590</v>
      </c>
      <c r="F28" s="136" t="s">
        <v>645</v>
      </c>
      <c r="G28" s="136" t="s">
        <v>646</v>
      </c>
      <c r="H28" s="136" t="s">
        <v>562</v>
      </c>
      <c r="I28" s="136" t="s">
        <v>525</v>
      </c>
      <c r="J28" s="136" t="s">
        <v>579</v>
      </c>
      <c r="K28" s="174"/>
      <c r="L28" s="136" t="s">
        <v>527</v>
      </c>
      <c r="M28" s="138" t="s">
        <v>743</v>
      </c>
      <c r="N28" s="139"/>
      <c r="O28" s="140" t="s">
        <v>381</v>
      </c>
      <c r="P28" s="136"/>
      <c r="Q28" s="129">
        <v>2</v>
      </c>
      <c r="R28" s="137" t="s">
        <v>713</v>
      </c>
      <c r="S28" s="137"/>
      <c r="T28" s="141"/>
      <c r="U28" s="140"/>
      <c r="V28" s="136"/>
      <c r="W28" s="129"/>
      <c r="X28" s="137"/>
      <c r="Y28" s="137"/>
      <c r="Z28" s="141"/>
      <c r="AA28" s="140"/>
      <c r="AB28" s="136"/>
      <c r="AC28" s="129"/>
      <c r="AD28" s="137"/>
      <c r="AE28" s="137"/>
      <c r="AF28" s="141"/>
      <c r="AG28" s="140"/>
      <c r="AH28" s="136"/>
      <c r="AI28" s="129"/>
      <c r="AJ28" s="137"/>
      <c r="AK28" s="137"/>
      <c r="AL28" s="141"/>
      <c r="AM28" s="140"/>
      <c r="AN28" s="136"/>
      <c r="AO28" s="129"/>
      <c r="AP28" s="137"/>
      <c r="AQ28" s="137"/>
      <c r="AR28" s="141"/>
      <c r="AS28" s="140"/>
      <c r="AT28" s="136"/>
      <c r="AU28" s="129"/>
      <c r="AV28" s="137"/>
      <c r="AW28" s="137"/>
      <c r="AX28" s="141"/>
      <c r="AY28" s="140"/>
      <c r="AZ28" s="136"/>
      <c r="BA28" s="129"/>
      <c r="BB28" s="137"/>
      <c r="BC28" s="137"/>
      <c r="BD28" s="141"/>
      <c r="BE28" s="140"/>
      <c r="BF28" s="136"/>
      <c r="BG28" s="129"/>
      <c r="BH28" s="137"/>
      <c r="BI28" s="137"/>
      <c r="BJ28" s="141"/>
      <c r="BK28" s="140"/>
      <c r="BL28" s="136"/>
      <c r="BM28" s="129"/>
      <c r="BN28" s="137"/>
      <c r="BO28" s="137"/>
      <c r="BP28" s="141"/>
      <c r="BQ28" s="140"/>
      <c r="BR28" s="136"/>
      <c r="BS28" s="129"/>
      <c r="BT28" s="137"/>
      <c r="BU28" s="137"/>
      <c r="BV28" s="142"/>
    </row>
    <row r="29" spans="1:74">
      <c r="A29" s="135"/>
      <c r="B29" s="136" t="s">
        <v>15</v>
      </c>
      <c r="C29" s="137">
        <v>893</v>
      </c>
      <c r="D29" s="136" t="s">
        <v>647</v>
      </c>
      <c r="E29" s="137" t="s">
        <v>576</v>
      </c>
      <c r="F29" s="136" t="s">
        <v>648</v>
      </c>
      <c r="G29" s="136" t="s">
        <v>649</v>
      </c>
      <c r="H29" s="136" t="s">
        <v>562</v>
      </c>
      <c r="I29" s="136" t="s">
        <v>525</v>
      </c>
      <c r="J29" s="136" t="s">
        <v>579</v>
      </c>
      <c r="K29" s="174"/>
      <c r="L29" s="136" t="s">
        <v>527</v>
      </c>
      <c r="M29" s="138" t="s">
        <v>744</v>
      </c>
      <c r="N29" s="139"/>
      <c r="O29" s="140" t="s">
        <v>381</v>
      </c>
      <c r="P29" s="136"/>
      <c r="Q29" s="129">
        <v>2</v>
      </c>
      <c r="R29" s="137" t="s">
        <v>714</v>
      </c>
      <c r="S29" s="137"/>
      <c r="T29" s="141"/>
      <c r="U29" s="140"/>
      <c r="V29" s="136"/>
      <c r="W29" s="129"/>
      <c r="X29" s="137"/>
      <c r="Y29" s="137"/>
      <c r="Z29" s="141"/>
      <c r="AA29" s="140"/>
      <c r="AB29" s="136"/>
      <c r="AC29" s="129"/>
      <c r="AD29" s="137"/>
      <c r="AE29" s="137"/>
      <c r="AF29" s="141"/>
      <c r="AG29" s="140"/>
      <c r="AH29" s="136"/>
      <c r="AI29" s="129"/>
      <c r="AJ29" s="137"/>
      <c r="AK29" s="137"/>
      <c r="AL29" s="141"/>
      <c r="AM29" s="140"/>
      <c r="AN29" s="136"/>
      <c r="AO29" s="129"/>
      <c r="AP29" s="137"/>
      <c r="AQ29" s="137"/>
      <c r="AR29" s="141"/>
      <c r="AS29" s="140"/>
      <c r="AT29" s="136"/>
      <c r="AU29" s="129"/>
      <c r="AV29" s="137"/>
      <c r="AW29" s="137"/>
      <c r="AX29" s="141"/>
      <c r="AY29" s="140"/>
      <c r="AZ29" s="136"/>
      <c r="BA29" s="129"/>
      <c r="BB29" s="137"/>
      <c r="BC29" s="137"/>
      <c r="BD29" s="141"/>
      <c r="BE29" s="140"/>
      <c r="BF29" s="136"/>
      <c r="BG29" s="129"/>
      <c r="BH29" s="137"/>
      <c r="BI29" s="137"/>
      <c r="BJ29" s="141"/>
      <c r="BK29" s="140"/>
      <c r="BL29" s="136"/>
      <c r="BM29" s="129"/>
      <c r="BN29" s="137"/>
      <c r="BO29" s="137"/>
      <c r="BP29" s="141"/>
      <c r="BQ29" s="140"/>
      <c r="BR29" s="136"/>
      <c r="BS29" s="129"/>
      <c r="BT29" s="137"/>
      <c r="BU29" s="137"/>
      <c r="BV29" s="142"/>
    </row>
    <row r="30" spans="1:74">
      <c r="A30" s="135"/>
      <c r="B30" s="136" t="s">
        <v>15</v>
      </c>
      <c r="C30" s="137">
        <v>65</v>
      </c>
      <c r="D30" s="136" t="s">
        <v>650</v>
      </c>
      <c r="E30" s="137" t="s">
        <v>570</v>
      </c>
      <c r="F30" s="136" t="s">
        <v>651</v>
      </c>
      <c r="G30" s="136" t="s">
        <v>652</v>
      </c>
      <c r="H30" s="136" t="s">
        <v>562</v>
      </c>
      <c r="I30" s="136" t="s">
        <v>525</v>
      </c>
      <c r="J30" s="136" t="s">
        <v>579</v>
      </c>
      <c r="K30" s="174"/>
      <c r="L30" s="136" t="s">
        <v>527</v>
      </c>
      <c r="M30" s="138" t="s">
        <v>745</v>
      </c>
      <c r="N30" s="139"/>
      <c r="O30" s="140" t="s">
        <v>381</v>
      </c>
      <c r="P30" s="136"/>
      <c r="Q30" s="129">
        <v>2</v>
      </c>
      <c r="R30" s="137" t="s">
        <v>714</v>
      </c>
      <c r="S30" s="137"/>
      <c r="T30" s="141"/>
      <c r="U30" s="140"/>
      <c r="V30" s="136"/>
      <c r="W30" s="129"/>
      <c r="X30" s="137"/>
      <c r="Y30" s="137"/>
      <c r="Z30" s="141"/>
      <c r="AA30" s="140"/>
      <c r="AB30" s="136"/>
      <c r="AC30" s="129"/>
      <c r="AD30" s="137"/>
      <c r="AE30" s="137"/>
      <c r="AF30" s="141"/>
      <c r="AG30" s="140"/>
      <c r="AH30" s="136"/>
      <c r="AI30" s="129"/>
      <c r="AJ30" s="137"/>
      <c r="AK30" s="137"/>
      <c r="AL30" s="141"/>
      <c r="AM30" s="140"/>
      <c r="AN30" s="136"/>
      <c r="AO30" s="129"/>
      <c r="AP30" s="137"/>
      <c r="AQ30" s="137"/>
      <c r="AR30" s="141"/>
      <c r="AS30" s="140"/>
      <c r="AT30" s="136"/>
      <c r="AU30" s="129"/>
      <c r="AV30" s="137"/>
      <c r="AW30" s="137"/>
      <c r="AX30" s="141"/>
      <c r="AY30" s="140"/>
      <c r="AZ30" s="136"/>
      <c r="BA30" s="129"/>
      <c r="BB30" s="137"/>
      <c r="BC30" s="137"/>
      <c r="BD30" s="141"/>
      <c r="BE30" s="140"/>
      <c r="BF30" s="136"/>
      <c r="BG30" s="129"/>
      <c r="BH30" s="137"/>
      <c r="BI30" s="137"/>
      <c r="BJ30" s="141"/>
      <c r="BK30" s="140"/>
      <c r="BL30" s="136"/>
      <c r="BM30" s="129"/>
      <c r="BN30" s="137"/>
      <c r="BO30" s="137"/>
      <c r="BP30" s="141"/>
      <c r="BQ30" s="140"/>
      <c r="BR30" s="136"/>
      <c r="BS30" s="129"/>
      <c r="BT30" s="137"/>
      <c r="BU30" s="137"/>
      <c r="BV30" s="142"/>
    </row>
    <row r="31" spans="1:74">
      <c r="A31" s="135"/>
      <c r="B31" s="136" t="s">
        <v>15</v>
      </c>
      <c r="C31" s="137">
        <v>63</v>
      </c>
      <c r="D31" s="136" t="s">
        <v>653</v>
      </c>
      <c r="E31" s="137" t="s">
        <v>570</v>
      </c>
      <c r="F31" s="136" t="s">
        <v>654</v>
      </c>
      <c r="G31" s="136" t="s">
        <v>655</v>
      </c>
      <c r="H31" s="136" t="s">
        <v>562</v>
      </c>
      <c r="I31" s="136" t="s">
        <v>525</v>
      </c>
      <c r="J31" s="136" t="s">
        <v>579</v>
      </c>
      <c r="K31" s="174"/>
      <c r="L31" s="136" t="s">
        <v>527</v>
      </c>
      <c r="M31" s="138" t="s">
        <v>746</v>
      </c>
      <c r="N31" s="139"/>
      <c r="O31" s="140" t="s">
        <v>381</v>
      </c>
      <c r="P31" s="136"/>
      <c r="Q31" s="129">
        <v>2</v>
      </c>
      <c r="R31" s="137" t="s">
        <v>714</v>
      </c>
      <c r="S31" s="137"/>
      <c r="T31" s="141"/>
      <c r="U31" s="140"/>
      <c r="V31" s="136"/>
      <c r="W31" s="129"/>
      <c r="X31" s="137"/>
      <c r="Y31" s="137"/>
      <c r="Z31" s="141"/>
      <c r="AA31" s="140"/>
      <c r="AB31" s="136"/>
      <c r="AC31" s="129"/>
      <c r="AD31" s="137"/>
      <c r="AE31" s="137"/>
      <c r="AF31" s="141"/>
      <c r="AG31" s="140"/>
      <c r="AH31" s="136"/>
      <c r="AI31" s="129"/>
      <c r="AJ31" s="137"/>
      <c r="AK31" s="137"/>
      <c r="AL31" s="141"/>
      <c r="AM31" s="140"/>
      <c r="AN31" s="136"/>
      <c r="AO31" s="129"/>
      <c r="AP31" s="137"/>
      <c r="AQ31" s="137"/>
      <c r="AR31" s="141"/>
      <c r="AS31" s="140"/>
      <c r="AT31" s="136"/>
      <c r="AU31" s="129"/>
      <c r="AV31" s="137"/>
      <c r="AW31" s="137"/>
      <c r="AX31" s="141"/>
      <c r="AY31" s="140"/>
      <c r="AZ31" s="136"/>
      <c r="BA31" s="129"/>
      <c r="BB31" s="137"/>
      <c r="BC31" s="137"/>
      <c r="BD31" s="141"/>
      <c r="BE31" s="140"/>
      <c r="BF31" s="136"/>
      <c r="BG31" s="129"/>
      <c r="BH31" s="137"/>
      <c r="BI31" s="137"/>
      <c r="BJ31" s="141"/>
      <c r="BK31" s="140"/>
      <c r="BL31" s="136"/>
      <c r="BM31" s="129"/>
      <c r="BN31" s="137"/>
      <c r="BO31" s="137"/>
      <c r="BP31" s="141"/>
      <c r="BQ31" s="140"/>
      <c r="BR31" s="136"/>
      <c r="BS31" s="129"/>
      <c r="BT31" s="137"/>
      <c r="BU31" s="137"/>
      <c r="BV31" s="142"/>
    </row>
    <row r="32" spans="1:74">
      <c r="A32" s="135"/>
      <c r="B32" s="136" t="s">
        <v>15</v>
      </c>
      <c r="C32" s="137">
        <v>894</v>
      </c>
      <c r="D32" s="136" t="s">
        <v>656</v>
      </c>
      <c r="E32" s="137" t="s">
        <v>576</v>
      </c>
      <c r="F32" s="136" t="s">
        <v>657</v>
      </c>
      <c r="G32" s="136" t="s">
        <v>658</v>
      </c>
      <c r="H32" s="136" t="s">
        <v>562</v>
      </c>
      <c r="I32" s="136" t="s">
        <v>525</v>
      </c>
      <c r="J32" s="136" t="s">
        <v>579</v>
      </c>
      <c r="K32" s="174"/>
      <c r="L32" s="136" t="s">
        <v>527</v>
      </c>
      <c r="M32" s="138" t="s">
        <v>747</v>
      </c>
      <c r="N32" s="139"/>
      <c r="O32" s="140" t="s">
        <v>381</v>
      </c>
      <c r="P32" s="136"/>
      <c r="Q32" s="129">
        <v>2</v>
      </c>
      <c r="R32" s="137" t="s">
        <v>715</v>
      </c>
      <c r="S32" s="137"/>
      <c r="T32" s="141"/>
      <c r="U32" s="140"/>
      <c r="V32" s="136"/>
      <c r="W32" s="129"/>
      <c r="X32" s="137"/>
      <c r="Y32" s="137"/>
      <c r="Z32" s="141"/>
      <c r="AA32" s="140"/>
      <c r="AB32" s="136"/>
      <c r="AC32" s="129"/>
      <c r="AD32" s="137"/>
      <c r="AE32" s="137"/>
      <c r="AF32" s="141"/>
      <c r="AG32" s="140"/>
      <c r="AH32" s="136"/>
      <c r="AI32" s="129"/>
      <c r="AJ32" s="137"/>
      <c r="AK32" s="137"/>
      <c r="AL32" s="141"/>
      <c r="AM32" s="140"/>
      <c r="AN32" s="136"/>
      <c r="AO32" s="129"/>
      <c r="AP32" s="137"/>
      <c r="AQ32" s="137"/>
      <c r="AR32" s="141"/>
      <c r="AS32" s="140"/>
      <c r="AT32" s="136"/>
      <c r="AU32" s="129"/>
      <c r="AV32" s="137"/>
      <c r="AW32" s="137"/>
      <c r="AX32" s="141"/>
      <c r="AY32" s="140"/>
      <c r="AZ32" s="136"/>
      <c r="BA32" s="129"/>
      <c r="BB32" s="137"/>
      <c r="BC32" s="137"/>
      <c r="BD32" s="141"/>
      <c r="BE32" s="140"/>
      <c r="BF32" s="136"/>
      <c r="BG32" s="129"/>
      <c r="BH32" s="137"/>
      <c r="BI32" s="137"/>
      <c r="BJ32" s="141"/>
      <c r="BK32" s="140"/>
      <c r="BL32" s="136"/>
      <c r="BM32" s="129"/>
      <c r="BN32" s="137"/>
      <c r="BO32" s="137"/>
      <c r="BP32" s="141"/>
      <c r="BQ32" s="140"/>
      <c r="BR32" s="136"/>
      <c r="BS32" s="129"/>
      <c r="BT32" s="137"/>
      <c r="BU32" s="137"/>
      <c r="BV32" s="142"/>
    </row>
    <row r="33" spans="1:74">
      <c r="A33" s="135"/>
      <c r="B33" s="136" t="s">
        <v>15</v>
      </c>
      <c r="C33" s="137">
        <v>900</v>
      </c>
      <c r="D33" s="136" t="s">
        <v>659</v>
      </c>
      <c r="E33" s="137" t="s">
        <v>576</v>
      </c>
      <c r="F33" s="136" t="s">
        <v>660</v>
      </c>
      <c r="G33" s="136" t="s">
        <v>661</v>
      </c>
      <c r="H33" s="136" t="s">
        <v>562</v>
      </c>
      <c r="I33" s="136" t="s">
        <v>525</v>
      </c>
      <c r="J33" s="136" t="s">
        <v>579</v>
      </c>
      <c r="K33" s="174"/>
      <c r="L33" s="136" t="s">
        <v>527</v>
      </c>
      <c r="M33" s="138" t="s">
        <v>748</v>
      </c>
      <c r="N33" s="139"/>
      <c r="O33" s="140" t="s">
        <v>381</v>
      </c>
      <c r="P33" s="136"/>
      <c r="Q33" s="129">
        <v>2</v>
      </c>
      <c r="R33" s="137" t="s">
        <v>715</v>
      </c>
      <c r="S33" s="137"/>
      <c r="T33" s="141"/>
      <c r="U33" s="140"/>
      <c r="V33" s="136"/>
      <c r="W33" s="129"/>
      <c r="X33" s="137"/>
      <c r="Y33" s="137"/>
      <c r="Z33" s="141"/>
      <c r="AA33" s="140"/>
      <c r="AB33" s="136"/>
      <c r="AC33" s="129"/>
      <c r="AD33" s="137"/>
      <c r="AE33" s="137"/>
      <c r="AF33" s="141"/>
      <c r="AG33" s="140"/>
      <c r="AH33" s="136"/>
      <c r="AI33" s="129"/>
      <c r="AJ33" s="137"/>
      <c r="AK33" s="137"/>
      <c r="AL33" s="141"/>
      <c r="AM33" s="140"/>
      <c r="AN33" s="136"/>
      <c r="AO33" s="129"/>
      <c r="AP33" s="137"/>
      <c r="AQ33" s="137"/>
      <c r="AR33" s="141"/>
      <c r="AS33" s="140"/>
      <c r="AT33" s="136"/>
      <c r="AU33" s="129"/>
      <c r="AV33" s="137"/>
      <c r="AW33" s="137"/>
      <c r="AX33" s="141"/>
      <c r="AY33" s="140"/>
      <c r="AZ33" s="136"/>
      <c r="BA33" s="129"/>
      <c r="BB33" s="137"/>
      <c r="BC33" s="137"/>
      <c r="BD33" s="141"/>
      <c r="BE33" s="140"/>
      <c r="BF33" s="136"/>
      <c r="BG33" s="129"/>
      <c r="BH33" s="137"/>
      <c r="BI33" s="137"/>
      <c r="BJ33" s="141"/>
      <c r="BK33" s="140"/>
      <c r="BL33" s="136"/>
      <c r="BM33" s="129"/>
      <c r="BN33" s="137"/>
      <c r="BO33" s="137"/>
      <c r="BP33" s="141"/>
      <c r="BQ33" s="140"/>
      <c r="BR33" s="136"/>
      <c r="BS33" s="129"/>
      <c r="BT33" s="137"/>
      <c r="BU33" s="137"/>
      <c r="BV33" s="142"/>
    </row>
    <row r="34" spans="1:74">
      <c r="A34" s="135"/>
      <c r="B34" s="136" t="s">
        <v>15</v>
      </c>
      <c r="C34" s="137">
        <v>1724</v>
      </c>
      <c r="D34" s="136" t="s">
        <v>662</v>
      </c>
      <c r="E34" s="137" t="s">
        <v>590</v>
      </c>
      <c r="F34" s="136" t="s">
        <v>663</v>
      </c>
      <c r="G34" s="136" t="s">
        <v>664</v>
      </c>
      <c r="H34" s="136" t="s">
        <v>562</v>
      </c>
      <c r="I34" s="136" t="s">
        <v>525</v>
      </c>
      <c r="J34" s="136" t="s">
        <v>579</v>
      </c>
      <c r="K34" s="174"/>
      <c r="L34" s="136" t="s">
        <v>527</v>
      </c>
      <c r="M34" s="138" t="s">
        <v>749</v>
      </c>
      <c r="N34" s="139"/>
      <c r="O34" s="140" t="s">
        <v>381</v>
      </c>
      <c r="P34" s="136"/>
      <c r="Q34" s="129">
        <v>2</v>
      </c>
      <c r="R34" s="137" t="s">
        <v>715</v>
      </c>
      <c r="S34" s="137"/>
      <c r="T34" s="141"/>
      <c r="U34" s="140"/>
      <c r="V34" s="136"/>
      <c r="W34" s="129"/>
      <c r="X34" s="137"/>
      <c r="Y34" s="137"/>
      <c r="Z34" s="141"/>
      <c r="AA34" s="140"/>
      <c r="AB34" s="136"/>
      <c r="AC34" s="129"/>
      <c r="AD34" s="137"/>
      <c r="AE34" s="137"/>
      <c r="AF34" s="141"/>
      <c r="AG34" s="140"/>
      <c r="AH34" s="136"/>
      <c r="AI34" s="129"/>
      <c r="AJ34" s="137"/>
      <c r="AK34" s="137"/>
      <c r="AL34" s="141"/>
      <c r="AM34" s="140"/>
      <c r="AN34" s="136"/>
      <c r="AO34" s="129"/>
      <c r="AP34" s="137"/>
      <c r="AQ34" s="137"/>
      <c r="AR34" s="141"/>
      <c r="AS34" s="140"/>
      <c r="AT34" s="136"/>
      <c r="AU34" s="129"/>
      <c r="AV34" s="137"/>
      <c r="AW34" s="137"/>
      <c r="AX34" s="141"/>
      <c r="AY34" s="140"/>
      <c r="AZ34" s="136"/>
      <c r="BA34" s="129"/>
      <c r="BB34" s="137"/>
      <c r="BC34" s="137"/>
      <c r="BD34" s="141"/>
      <c r="BE34" s="140"/>
      <c r="BF34" s="136"/>
      <c r="BG34" s="129"/>
      <c r="BH34" s="137"/>
      <c r="BI34" s="137"/>
      <c r="BJ34" s="141"/>
      <c r="BK34" s="140"/>
      <c r="BL34" s="136"/>
      <c r="BM34" s="129"/>
      <c r="BN34" s="137"/>
      <c r="BO34" s="137"/>
      <c r="BP34" s="141"/>
      <c r="BQ34" s="140"/>
      <c r="BR34" s="136"/>
      <c r="BS34" s="129"/>
      <c r="BT34" s="137"/>
      <c r="BU34" s="137"/>
      <c r="BV34" s="142"/>
    </row>
    <row r="35" spans="1:74">
      <c r="A35" s="135"/>
      <c r="B35" s="136" t="s">
        <v>15</v>
      </c>
      <c r="C35" s="137">
        <v>61</v>
      </c>
      <c r="D35" s="136" t="s">
        <v>665</v>
      </c>
      <c r="E35" s="137" t="s">
        <v>570</v>
      </c>
      <c r="F35" s="136" t="s">
        <v>666</v>
      </c>
      <c r="G35" s="136" t="s">
        <v>667</v>
      </c>
      <c r="H35" s="136" t="s">
        <v>562</v>
      </c>
      <c r="I35" s="136" t="s">
        <v>525</v>
      </c>
      <c r="J35" s="136" t="s">
        <v>579</v>
      </c>
      <c r="K35" s="174"/>
      <c r="L35" s="136" t="s">
        <v>527</v>
      </c>
      <c r="M35" s="138" t="s">
        <v>750</v>
      </c>
      <c r="N35" s="139"/>
      <c r="O35" s="140" t="s">
        <v>381</v>
      </c>
      <c r="P35" s="136"/>
      <c r="Q35" s="129">
        <v>2</v>
      </c>
      <c r="R35" s="137" t="s">
        <v>716</v>
      </c>
      <c r="S35" s="137"/>
      <c r="T35" s="141"/>
      <c r="U35" s="140"/>
      <c r="V35" s="136"/>
      <c r="W35" s="129"/>
      <c r="X35" s="137"/>
      <c r="Y35" s="137"/>
      <c r="Z35" s="141"/>
      <c r="AA35" s="140"/>
      <c r="AB35" s="136"/>
      <c r="AC35" s="129"/>
      <c r="AD35" s="137"/>
      <c r="AE35" s="137"/>
      <c r="AF35" s="141"/>
      <c r="AG35" s="140"/>
      <c r="AH35" s="136"/>
      <c r="AI35" s="129"/>
      <c r="AJ35" s="137"/>
      <c r="AK35" s="137"/>
      <c r="AL35" s="141"/>
      <c r="AM35" s="140"/>
      <c r="AN35" s="136"/>
      <c r="AO35" s="129"/>
      <c r="AP35" s="137"/>
      <c r="AQ35" s="137"/>
      <c r="AR35" s="141"/>
      <c r="AS35" s="140"/>
      <c r="AT35" s="136"/>
      <c r="AU35" s="129"/>
      <c r="AV35" s="137"/>
      <c r="AW35" s="137"/>
      <c r="AX35" s="141"/>
      <c r="AY35" s="140"/>
      <c r="AZ35" s="136"/>
      <c r="BA35" s="129"/>
      <c r="BB35" s="137"/>
      <c r="BC35" s="137"/>
      <c r="BD35" s="141"/>
      <c r="BE35" s="140"/>
      <c r="BF35" s="136"/>
      <c r="BG35" s="129"/>
      <c r="BH35" s="137"/>
      <c r="BI35" s="137"/>
      <c r="BJ35" s="141"/>
      <c r="BK35" s="140"/>
      <c r="BL35" s="136"/>
      <c r="BM35" s="129"/>
      <c r="BN35" s="137"/>
      <c r="BO35" s="137"/>
      <c r="BP35" s="141"/>
      <c r="BQ35" s="140"/>
      <c r="BR35" s="136"/>
      <c r="BS35" s="129"/>
      <c r="BT35" s="137"/>
      <c r="BU35" s="137"/>
      <c r="BV35" s="142"/>
    </row>
    <row r="36" spans="1:74">
      <c r="A36" s="135"/>
      <c r="B36" s="136" t="s">
        <v>15</v>
      </c>
      <c r="C36" s="137">
        <v>66</v>
      </c>
      <c r="D36" s="136" t="s">
        <v>668</v>
      </c>
      <c r="E36" s="137" t="s">
        <v>570</v>
      </c>
      <c r="F36" s="136" t="s">
        <v>669</v>
      </c>
      <c r="G36" s="136" t="s">
        <v>670</v>
      </c>
      <c r="H36" s="136" t="s">
        <v>562</v>
      </c>
      <c r="I36" s="136" t="s">
        <v>525</v>
      </c>
      <c r="J36" s="136" t="s">
        <v>579</v>
      </c>
      <c r="K36" s="174"/>
      <c r="L36" s="136" t="s">
        <v>527</v>
      </c>
      <c r="M36" s="138" t="s">
        <v>751</v>
      </c>
      <c r="N36" s="139"/>
      <c r="O36" s="140" t="s">
        <v>381</v>
      </c>
      <c r="P36" s="136"/>
      <c r="Q36" s="129">
        <v>2</v>
      </c>
      <c r="R36" s="137" t="s">
        <v>716</v>
      </c>
      <c r="S36" s="137"/>
      <c r="T36" s="141"/>
      <c r="U36" s="140"/>
      <c r="V36" s="136"/>
      <c r="W36" s="129"/>
      <c r="X36" s="137"/>
      <c r="Y36" s="137"/>
      <c r="Z36" s="141"/>
      <c r="AA36" s="140"/>
      <c r="AB36" s="136"/>
      <c r="AC36" s="129"/>
      <c r="AD36" s="137"/>
      <c r="AE36" s="137"/>
      <c r="AF36" s="141"/>
      <c r="AG36" s="140"/>
      <c r="AH36" s="136"/>
      <c r="AI36" s="129"/>
      <c r="AJ36" s="137"/>
      <c r="AK36" s="137"/>
      <c r="AL36" s="141"/>
      <c r="AM36" s="140"/>
      <c r="AN36" s="136"/>
      <c r="AO36" s="129"/>
      <c r="AP36" s="137"/>
      <c r="AQ36" s="137"/>
      <c r="AR36" s="141"/>
      <c r="AS36" s="140"/>
      <c r="AT36" s="136"/>
      <c r="AU36" s="129"/>
      <c r="AV36" s="137"/>
      <c r="AW36" s="137"/>
      <c r="AX36" s="141"/>
      <c r="AY36" s="140"/>
      <c r="AZ36" s="136"/>
      <c r="BA36" s="129"/>
      <c r="BB36" s="137"/>
      <c r="BC36" s="137"/>
      <c r="BD36" s="141"/>
      <c r="BE36" s="140"/>
      <c r="BF36" s="136"/>
      <c r="BG36" s="129"/>
      <c r="BH36" s="137"/>
      <c r="BI36" s="137"/>
      <c r="BJ36" s="141"/>
      <c r="BK36" s="140"/>
      <c r="BL36" s="136"/>
      <c r="BM36" s="129"/>
      <c r="BN36" s="137"/>
      <c r="BO36" s="137"/>
      <c r="BP36" s="141"/>
      <c r="BQ36" s="140"/>
      <c r="BR36" s="136"/>
      <c r="BS36" s="129"/>
      <c r="BT36" s="137"/>
      <c r="BU36" s="137"/>
      <c r="BV36" s="142"/>
    </row>
    <row r="37" spans="1:74">
      <c r="A37" s="135"/>
      <c r="B37" s="136" t="s">
        <v>15</v>
      </c>
      <c r="C37" s="137">
        <v>1734</v>
      </c>
      <c r="D37" s="136" t="s">
        <v>671</v>
      </c>
      <c r="E37" s="137" t="s">
        <v>590</v>
      </c>
      <c r="F37" s="136" t="s">
        <v>672</v>
      </c>
      <c r="G37" s="136" t="s">
        <v>673</v>
      </c>
      <c r="H37" s="136" t="s">
        <v>562</v>
      </c>
      <c r="I37" s="136" t="s">
        <v>525</v>
      </c>
      <c r="J37" s="136" t="s">
        <v>579</v>
      </c>
      <c r="K37" s="174"/>
      <c r="L37" s="136" t="s">
        <v>527</v>
      </c>
      <c r="M37" s="138" t="s">
        <v>752</v>
      </c>
      <c r="N37" s="139"/>
      <c r="O37" s="140" t="s">
        <v>381</v>
      </c>
      <c r="P37" s="136"/>
      <c r="Q37" s="129">
        <v>2</v>
      </c>
      <c r="R37" s="137" t="s">
        <v>716</v>
      </c>
      <c r="S37" s="137"/>
      <c r="T37" s="141"/>
      <c r="U37" s="140"/>
      <c r="V37" s="136"/>
      <c r="W37" s="129"/>
      <c r="X37" s="137"/>
      <c r="Y37" s="137"/>
      <c r="Z37" s="141"/>
      <c r="AA37" s="140"/>
      <c r="AB37" s="136"/>
      <c r="AC37" s="129"/>
      <c r="AD37" s="137"/>
      <c r="AE37" s="137"/>
      <c r="AF37" s="141"/>
      <c r="AG37" s="140"/>
      <c r="AH37" s="136"/>
      <c r="AI37" s="129"/>
      <c r="AJ37" s="137"/>
      <c r="AK37" s="137"/>
      <c r="AL37" s="141"/>
      <c r="AM37" s="140"/>
      <c r="AN37" s="136"/>
      <c r="AO37" s="129"/>
      <c r="AP37" s="137"/>
      <c r="AQ37" s="137"/>
      <c r="AR37" s="141"/>
      <c r="AS37" s="140"/>
      <c r="AT37" s="136"/>
      <c r="AU37" s="129"/>
      <c r="AV37" s="137"/>
      <c r="AW37" s="137"/>
      <c r="AX37" s="141"/>
      <c r="AY37" s="140"/>
      <c r="AZ37" s="136"/>
      <c r="BA37" s="129"/>
      <c r="BB37" s="137"/>
      <c r="BC37" s="137"/>
      <c r="BD37" s="141"/>
      <c r="BE37" s="140"/>
      <c r="BF37" s="136"/>
      <c r="BG37" s="129"/>
      <c r="BH37" s="137"/>
      <c r="BI37" s="137"/>
      <c r="BJ37" s="141"/>
      <c r="BK37" s="140"/>
      <c r="BL37" s="136"/>
      <c r="BM37" s="129"/>
      <c r="BN37" s="137"/>
      <c r="BO37" s="137"/>
      <c r="BP37" s="141"/>
      <c r="BQ37" s="140"/>
      <c r="BR37" s="136"/>
      <c r="BS37" s="129"/>
      <c r="BT37" s="137"/>
      <c r="BU37" s="137"/>
      <c r="BV37" s="142"/>
    </row>
    <row r="38" spans="1:74">
      <c r="A38" s="135"/>
      <c r="B38" s="136" t="s">
        <v>15</v>
      </c>
      <c r="C38" s="137">
        <v>1719</v>
      </c>
      <c r="D38" s="136" t="s">
        <v>674</v>
      </c>
      <c r="E38" s="137" t="s">
        <v>590</v>
      </c>
      <c r="F38" s="136" t="s">
        <v>675</v>
      </c>
      <c r="G38" s="136" t="s">
        <v>676</v>
      </c>
      <c r="H38" s="136" t="s">
        <v>562</v>
      </c>
      <c r="I38" s="136" t="s">
        <v>525</v>
      </c>
      <c r="J38" s="136" t="s">
        <v>579</v>
      </c>
      <c r="K38" s="174"/>
      <c r="L38" s="136" t="s">
        <v>527</v>
      </c>
      <c r="M38" s="138" t="s">
        <v>753</v>
      </c>
      <c r="N38" s="139"/>
      <c r="O38" s="140" t="s">
        <v>381</v>
      </c>
      <c r="P38" s="136"/>
      <c r="Q38" s="129">
        <v>2</v>
      </c>
      <c r="R38" s="137" t="s">
        <v>716</v>
      </c>
      <c r="S38" s="137"/>
      <c r="T38" s="141"/>
      <c r="U38" s="140"/>
      <c r="V38" s="136"/>
      <c r="W38" s="129"/>
      <c r="X38" s="137"/>
      <c r="Y38" s="137"/>
      <c r="Z38" s="141"/>
      <c r="AA38" s="140"/>
      <c r="AB38" s="136"/>
      <c r="AC38" s="129"/>
      <c r="AD38" s="137"/>
      <c r="AE38" s="137"/>
      <c r="AF38" s="141"/>
      <c r="AG38" s="140"/>
      <c r="AH38" s="136"/>
      <c r="AI38" s="129"/>
      <c r="AJ38" s="137"/>
      <c r="AK38" s="137"/>
      <c r="AL38" s="141"/>
      <c r="AM38" s="140"/>
      <c r="AN38" s="136"/>
      <c r="AO38" s="129"/>
      <c r="AP38" s="137"/>
      <c r="AQ38" s="137"/>
      <c r="AR38" s="141"/>
      <c r="AS38" s="140"/>
      <c r="AT38" s="136"/>
      <c r="AU38" s="129"/>
      <c r="AV38" s="137"/>
      <c r="AW38" s="137"/>
      <c r="AX38" s="141"/>
      <c r="AY38" s="140"/>
      <c r="AZ38" s="136"/>
      <c r="BA38" s="129"/>
      <c r="BB38" s="137"/>
      <c r="BC38" s="137"/>
      <c r="BD38" s="141"/>
      <c r="BE38" s="140"/>
      <c r="BF38" s="136"/>
      <c r="BG38" s="129"/>
      <c r="BH38" s="137"/>
      <c r="BI38" s="137"/>
      <c r="BJ38" s="141"/>
      <c r="BK38" s="140"/>
      <c r="BL38" s="136"/>
      <c r="BM38" s="129"/>
      <c r="BN38" s="137"/>
      <c r="BO38" s="137"/>
      <c r="BP38" s="141"/>
      <c r="BQ38" s="140"/>
      <c r="BR38" s="136"/>
      <c r="BS38" s="129"/>
      <c r="BT38" s="137"/>
      <c r="BU38" s="137"/>
      <c r="BV38" s="142"/>
    </row>
    <row r="39" spans="1:74">
      <c r="A39" s="135"/>
      <c r="B39" s="136" t="s">
        <v>15</v>
      </c>
      <c r="C39" s="137">
        <v>896</v>
      </c>
      <c r="D39" s="136" t="s">
        <v>677</v>
      </c>
      <c r="E39" s="137" t="s">
        <v>576</v>
      </c>
      <c r="F39" s="136" t="s">
        <v>678</v>
      </c>
      <c r="G39" s="136" t="s">
        <v>679</v>
      </c>
      <c r="H39" s="136" t="s">
        <v>562</v>
      </c>
      <c r="I39" s="136" t="s">
        <v>525</v>
      </c>
      <c r="J39" s="136" t="s">
        <v>579</v>
      </c>
      <c r="K39" s="174"/>
      <c r="L39" s="136" t="s">
        <v>527</v>
      </c>
      <c r="M39" s="138" t="s">
        <v>754</v>
      </c>
      <c r="N39" s="139"/>
      <c r="O39" s="140" t="s">
        <v>381</v>
      </c>
      <c r="P39" s="136"/>
      <c r="Q39" s="129">
        <v>2</v>
      </c>
      <c r="R39" s="137" t="s">
        <v>717</v>
      </c>
      <c r="S39" s="137"/>
      <c r="T39" s="141"/>
      <c r="U39" s="140"/>
      <c r="V39" s="136"/>
      <c r="W39" s="129"/>
      <c r="X39" s="137"/>
      <c r="Y39" s="137"/>
      <c r="Z39" s="141"/>
      <c r="AA39" s="140"/>
      <c r="AB39" s="136"/>
      <c r="AC39" s="129"/>
      <c r="AD39" s="137"/>
      <c r="AE39" s="137"/>
      <c r="AF39" s="141"/>
      <c r="AG39" s="140"/>
      <c r="AH39" s="136"/>
      <c r="AI39" s="129"/>
      <c r="AJ39" s="137"/>
      <c r="AK39" s="137"/>
      <c r="AL39" s="141"/>
      <c r="AM39" s="140"/>
      <c r="AN39" s="136"/>
      <c r="AO39" s="129"/>
      <c r="AP39" s="137"/>
      <c r="AQ39" s="137"/>
      <c r="AR39" s="141"/>
      <c r="AS39" s="140"/>
      <c r="AT39" s="136"/>
      <c r="AU39" s="129"/>
      <c r="AV39" s="137"/>
      <c r="AW39" s="137"/>
      <c r="AX39" s="141"/>
      <c r="AY39" s="140"/>
      <c r="AZ39" s="136"/>
      <c r="BA39" s="129"/>
      <c r="BB39" s="137"/>
      <c r="BC39" s="137"/>
      <c r="BD39" s="141"/>
      <c r="BE39" s="140"/>
      <c r="BF39" s="136"/>
      <c r="BG39" s="129"/>
      <c r="BH39" s="137"/>
      <c r="BI39" s="137"/>
      <c r="BJ39" s="141"/>
      <c r="BK39" s="140"/>
      <c r="BL39" s="136"/>
      <c r="BM39" s="129"/>
      <c r="BN39" s="137"/>
      <c r="BO39" s="137"/>
      <c r="BP39" s="141"/>
      <c r="BQ39" s="140"/>
      <c r="BR39" s="136"/>
      <c r="BS39" s="129"/>
      <c r="BT39" s="137"/>
      <c r="BU39" s="137"/>
      <c r="BV39" s="142"/>
    </row>
    <row r="40" spans="1:74">
      <c r="A40" s="135"/>
      <c r="B40" s="136" t="s">
        <v>15</v>
      </c>
      <c r="C40" s="137">
        <v>1732</v>
      </c>
      <c r="D40" s="136" t="s">
        <v>680</v>
      </c>
      <c r="E40" s="137" t="s">
        <v>590</v>
      </c>
      <c r="F40" s="136" t="s">
        <v>681</v>
      </c>
      <c r="G40" s="136" t="s">
        <v>682</v>
      </c>
      <c r="H40" s="136" t="s">
        <v>562</v>
      </c>
      <c r="I40" s="136" t="s">
        <v>525</v>
      </c>
      <c r="J40" s="136" t="s">
        <v>579</v>
      </c>
      <c r="K40" s="174"/>
      <c r="L40" s="136" t="s">
        <v>527</v>
      </c>
      <c r="M40" s="138" t="s">
        <v>755</v>
      </c>
      <c r="N40" s="139"/>
      <c r="O40" s="140" t="s">
        <v>381</v>
      </c>
      <c r="P40" s="136"/>
      <c r="Q40" s="129">
        <v>2</v>
      </c>
      <c r="R40" s="137" t="s">
        <v>718</v>
      </c>
      <c r="S40" s="137"/>
      <c r="T40" s="141"/>
      <c r="U40" s="140"/>
      <c r="V40" s="136"/>
      <c r="W40" s="129"/>
      <c r="X40" s="137"/>
      <c r="Y40" s="137"/>
      <c r="Z40" s="141"/>
      <c r="AA40" s="140"/>
      <c r="AB40" s="136"/>
      <c r="AC40" s="129"/>
      <c r="AD40" s="137"/>
      <c r="AE40" s="137"/>
      <c r="AF40" s="141"/>
      <c r="AG40" s="140"/>
      <c r="AH40" s="136"/>
      <c r="AI40" s="129"/>
      <c r="AJ40" s="137"/>
      <c r="AK40" s="137"/>
      <c r="AL40" s="141"/>
      <c r="AM40" s="140"/>
      <c r="AN40" s="136"/>
      <c r="AO40" s="129"/>
      <c r="AP40" s="137"/>
      <c r="AQ40" s="137"/>
      <c r="AR40" s="141"/>
      <c r="AS40" s="140"/>
      <c r="AT40" s="136"/>
      <c r="AU40" s="129"/>
      <c r="AV40" s="137"/>
      <c r="AW40" s="137"/>
      <c r="AX40" s="141"/>
      <c r="AY40" s="140"/>
      <c r="AZ40" s="136"/>
      <c r="BA40" s="129"/>
      <c r="BB40" s="137"/>
      <c r="BC40" s="137"/>
      <c r="BD40" s="141"/>
      <c r="BE40" s="140"/>
      <c r="BF40" s="136"/>
      <c r="BG40" s="129"/>
      <c r="BH40" s="137"/>
      <c r="BI40" s="137"/>
      <c r="BJ40" s="141"/>
      <c r="BK40" s="140"/>
      <c r="BL40" s="136"/>
      <c r="BM40" s="129"/>
      <c r="BN40" s="137"/>
      <c r="BO40" s="137"/>
      <c r="BP40" s="141"/>
      <c r="BQ40" s="140"/>
      <c r="BR40" s="136"/>
      <c r="BS40" s="129"/>
      <c r="BT40" s="137"/>
      <c r="BU40" s="137"/>
      <c r="BV40" s="142"/>
    </row>
    <row r="41" spans="1:74">
      <c r="A41" s="135"/>
      <c r="B41" s="136" t="s">
        <v>15</v>
      </c>
      <c r="C41" s="137">
        <v>1730</v>
      </c>
      <c r="D41" s="136" t="s">
        <v>683</v>
      </c>
      <c r="E41" s="137" t="s">
        <v>590</v>
      </c>
      <c r="F41" s="136" t="s">
        <v>684</v>
      </c>
      <c r="G41" s="136" t="s">
        <v>685</v>
      </c>
      <c r="H41" s="136" t="s">
        <v>562</v>
      </c>
      <c r="I41" s="136" t="s">
        <v>525</v>
      </c>
      <c r="J41" s="136" t="s">
        <v>579</v>
      </c>
      <c r="K41" s="174"/>
      <c r="L41" s="136" t="s">
        <v>527</v>
      </c>
      <c r="M41" s="138" t="s">
        <v>756</v>
      </c>
      <c r="N41" s="139"/>
      <c r="O41" s="140" t="s">
        <v>381</v>
      </c>
      <c r="P41" s="136"/>
      <c r="Q41" s="129">
        <v>2</v>
      </c>
      <c r="R41" s="137" t="s">
        <v>719</v>
      </c>
      <c r="S41" s="137"/>
      <c r="T41" s="141"/>
      <c r="U41" s="140"/>
      <c r="V41" s="136"/>
      <c r="W41" s="129"/>
      <c r="X41" s="137"/>
      <c r="Y41" s="137"/>
      <c r="Z41" s="141"/>
      <c r="AA41" s="140"/>
      <c r="AB41" s="136"/>
      <c r="AC41" s="129"/>
      <c r="AD41" s="137"/>
      <c r="AE41" s="137"/>
      <c r="AF41" s="141"/>
      <c r="AG41" s="140"/>
      <c r="AH41" s="136"/>
      <c r="AI41" s="129"/>
      <c r="AJ41" s="137"/>
      <c r="AK41" s="137"/>
      <c r="AL41" s="141"/>
      <c r="AM41" s="140"/>
      <c r="AN41" s="136"/>
      <c r="AO41" s="129"/>
      <c r="AP41" s="137"/>
      <c r="AQ41" s="137"/>
      <c r="AR41" s="141"/>
      <c r="AS41" s="140"/>
      <c r="AT41" s="136"/>
      <c r="AU41" s="129"/>
      <c r="AV41" s="137"/>
      <c r="AW41" s="137"/>
      <c r="AX41" s="141"/>
      <c r="AY41" s="140"/>
      <c r="AZ41" s="136"/>
      <c r="BA41" s="129"/>
      <c r="BB41" s="137"/>
      <c r="BC41" s="137"/>
      <c r="BD41" s="141"/>
      <c r="BE41" s="140"/>
      <c r="BF41" s="136"/>
      <c r="BG41" s="129"/>
      <c r="BH41" s="137"/>
      <c r="BI41" s="137"/>
      <c r="BJ41" s="141"/>
      <c r="BK41" s="140"/>
      <c r="BL41" s="136"/>
      <c r="BM41" s="129"/>
      <c r="BN41" s="137"/>
      <c r="BO41" s="137"/>
      <c r="BP41" s="141"/>
      <c r="BQ41" s="140"/>
      <c r="BR41" s="136"/>
      <c r="BS41" s="129"/>
      <c r="BT41" s="137"/>
      <c r="BU41" s="137"/>
      <c r="BV41" s="142"/>
    </row>
    <row r="42" spans="1:74">
      <c r="A42" s="135"/>
      <c r="B42" s="136" t="s">
        <v>15</v>
      </c>
      <c r="C42" s="137">
        <v>1727</v>
      </c>
      <c r="D42" s="136" t="s">
        <v>686</v>
      </c>
      <c r="E42" s="137" t="s">
        <v>590</v>
      </c>
      <c r="F42" s="136" t="s">
        <v>687</v>
      </c>
      <c r="G42" s="136" t="s">
        <v>688</v>
      </c>
      <c r="H42" s="136" t="s">
        <v>562</v>
      </c>
      <c r="I42" s="136" t="s">
        <v>525</v>
      </c>
      <c r="J42" s="136" t="s">
        <v>579</v>
      </c>
      <c r="K42" s="174"/>
      <c r="L42" s="136" t="s">
        <v>527</v>
      </c>
      <c r="M42" s="138" t="s">
        <v>757</v>
      </c>
      <c r="N42" s="139"/>
      <c r="O42" s="140" t="s">
        <v>381</v>
      </c>
      <c r="P42" s="136"/>
      <c r="Q42" s="129">
        <v>2</v>
      </c>
      <c r="R42" s="137" t="s">
        <v>719</v>
      </c>
      <c r="S42" s="137"/>
      <c r="T42" s="141"/>
      <c r="U42" s="140"/>
      <c r="V42" s="136"/>
      <c r="W42" s="129"/>
      <c r="X42" s="137"/>
      <c r="Y42" s="137"/>
      <c r="Z42" s="141"/>
      <c r="AA42" s="140"/>
      <c r="AB42" s="136"/>
      <c r="AC42" s="129"/>
      <c r="AD42" s="137"/>
      <c r="AE42" s="137"/>
      <c r="AF42" s="141"/>
      <c r="AG42" s="140"/>
      <c r="AH42" s="136"/>
      <c r="AI42" s="129"/>
      <c r="AJ42" s="137"/>
      <c r="AK42" s="137"/>
      <c r="AL42" s="141"/>
      <c r="AM42" s="140"/>
      <c r="AN42" s="136"/>
      <c r="AO42" s="129"/>
      <c r="AP42" s="137"/>
      <c r="AQ42" s="137"/>
      <c r="AR42" s="141"/>
      <c r="AS42" s="140"/>
      <c r="AT42" s="136"/>
      <c r="AU42" s="129"/>
      <c r="AV42" s="137"/>
      <c r="AW42" s="137"/>
      <c r="AX42" s="141"/>
      <c r="AY42" s="140"/>
      <c r="AZ42" s="136"/>
      <c r="BA42" s="129"/>
      <c r="BB42" s="137"/>
      <c r="BC42" s="137"/>
      <c r="BD42" s="141"/>
      <c r="BE42" s="140"/>
      <c r="BF42" s="136"/>
      <c r="BG42" s="129"/>
      <c r="BH42" s="137"/>
      <c r="BI42" s="137"/>
      <c r="BJ42" s="141"/>
      <c r="BK42" s="140"/>
      <c r="BL42" s="136"/>
      <c r="BM42" s="129"/>
      <c r="BN42" s="137"/>
      <c r="BO42" s="137"/>
      <c r="BP42" s="141"/>
      <c r="BQ42" s="140"/>
      <c r="BR42" s="136"/>
      <c r="BS42" s="129"/>
      <c r="BT42" s="137"/>
      <c r="BU42" s="137"/>
      <c r="BV42" s="142"/>
    </row>
    <row r="43" spans="1:74">
      <c r="A43" s="135"/>
      <c r="B43" s="136" t="s">
        <v>15</v>
      </c>
      <c r="C43" s="137">
        <v>1723</v>
      </c>
      <c r="D43" s="136" t="s">
        <v>689</v>
      </c>
      <c r="E43" s="137" t="s">
        <v>590</v>
      </c>
      <c r="F43" s="136" t="s">
        <v>690</v>
      </c>
      <c r="G43" s="136" t="s">
        <v>691</v>
      </c>
      <c r="H43" s="136" t="s">
        <v>562</v>
      </c>
      <c r="I43" s="136" t="s">
        <v>525</v>
      </c>
      <c r="J43" s="136" t="s">
        <v>579</v>
      </c>
      <c r="K43" s="174"/>
      <c r="L43" s="136" t="s">
        <v>527</v>
      </c>
      <c r="M43" s="138" t="s">
        <v>758</v>
      </c>
      <c r="N43" s="139"/>
      <c r="O43" s="140" t="s">
        <v>381</v>
      </c>
      <c r="P43" s="136"/>
      <c r="Q43" s="129">
        <v>2</v>
      </c>
      <c r="R43" s="137" t="s">
        <v>719</v>
      </c>
      <c r="S43" s="137"/>
      <c r="T43" s="141"/>
      <c r="U43" s="140"/>
      <c r="V43" s="136"/>
      <c r="W43" s="129"/>
      <c r="X43" s="137"/>
      <c r="Y43" s="137"/>
      <c r="Z43" s="141"/>
      <c r="AA43" s="140"/>
      <c r="AB43" s="136"/>
      <c r="AC43" s="129"/>
      <c r="AD43" s="137"/>
      <c r="AE43" s="137"/>
      <c r="AF43" s="141"/>
      <c r="AG43" s="140"/>
      <c r="AH43" s="136"/>
      <c r="AI43" s="129"/>
      <c r="AJ43" s="137"/>
      <c r="AK43" s="137"/>
      <c r="AL43" s="141"/>
      <c r="AM43" s="140"/>
      <c r="AN43" s="136"/>
      <c r="AO43" s="129"/>
      <c r="AP43" s="137"/>
      <c r="AQ43" s="137"/>
      <c r="AR43" s="141"/>
      <c r="AS43" s="140"/>
      <c r="AT43" s="136"/>
      <c r="AU43" s="129"/>
      <c r="AV43" s="137"/>
      <c r="AW43" s="137"/>
      <c r="AX43" s="141"/>
      <c r="AY43" s="140"/>
      <c r="AZ43" s="136"/>
      <c r="BA43" s="129"/>
      <c r="BB43" s="137"/>
      <c r="BC43" s="137"/>
      <c r="BD43" s="141"/>
      <c r="BE43" s="140"/>
      <c r="BF43" s="136"/>
      <c r="BG43" s="129"/>
      <c r="BH43" s="137"/>
      <c r="BI43" s="137"/>
      <c r="BJ43" s="141"/>
      <c r="BK43" s="140"/>
      <c r="BL43" s="136"/>
      <c r="BM43" s="129"/>
      <c r="BN43" s="137"/>
      <c r="BO43" s="137"/>
      <c r="BP43" s="141"/>
      <c r="BQ43" s="140"/>
      <c r="BR43" s="136"/>
      <c r="BS43" s="129"/>
      <c r="BT43" s="137"/>
      <c r="BU43" s="137"/>
      <c r="BV43" s="142"/>
    </row>
    <row r="44" spans="1:74">
      <c r="A44" s="135"/>
      <c r="B44" s="136" t="s">
        <v>15</v>
      </c>
      <c r="C44" s="137">
        <v>1759</v>
      </c>
      <c r="D44" s="136" t="s">
        <v>692</v>
      </c>
      <c r="E44" s="137" t="s">
        <v>590</v>
      </c>
      <c r="F44" s="136" t="s">
        <v>693</v>
      </c>
      <c r="G44" s="136" t="s">
        <v>694</v>
      </c>
      <c r="H44" s="136" t="s">
        <v>562</v>
      </c>
      <c r="I44" s="136" t="s">
        <v>525</v>
      </c>
      <c r="J44" s="136" t="s">
        <v>579</v>
      </c>
      <c r="K44" s="174"/>
      <c r="L44" s="136" t="s">
        <v>527</v>
      </c>
      <c r="M44" s="138" t="s">
        <v>759</v>
      </c>
      <c r="N44" s="139"/>
      <c r="O44" s="140" t="s">
        <v>381</v>
      </c>
      <c r="P44" s="136"/>
      <c r="Q44" s="129">
        <v>2</v>
      </c>
      <c r="R44" s="137" t="s">
        <v>719</v>
      </c>
      <c r="S44" s="137"/>
      <c r="T44" s="141"/>
      <c r="U44" s="140"/>
      <c r="V44" s="136"/>
      <c r="W44" s="129"/>
      <c r="X44" s="137"/>
      <c r="Y44" s="137"/>
      <c r="Z44" s="141"/>
      <c r="AA44" s="140"/>
      <c r="AB44" s="136"/>
      <c r="AC44" s="129"/>
      <c r="AD44" s="137"/>
      <c r="AE44" s="137"/>
      <c r="AF44" s="141"/>
      <c r="AG44" s="140"/>
      <c r="AH44" s="136"/>
      <c r="AI44" s="129"/>
      <c r="AJ44" s="137"/>
      <c r="AK44" s="137"/>
      <c r="AL44" s="141"/>
      <c r="AM44" s="140"/>
      <c r="AN44" s="136"/>
      <c r="AO44" s="129"/>
      <c r="AP44" s="137"/>
      <c r="AQ44" s="137"/>
      <c r="AR44" s="141"/>
      <c r="AS44" s="140"/>
      <c r="AT44" s="136"/>
      <c r="AU44" s="129"/>
      <c r="AV44" s="137"/>
      <c r="AW44" s="137"/>
      <c r="AX44" s="141"/>
      <c r="AY44" s="140"/>
      <c r="AZ44" s="136"/>
      <c r="BA44" s="129"/>
      <c r="BB44" s="137"/>
      <c r="BC44" s="137"/>
      <c r="BD44" s="141"/>
      <c r="BE44" s="140"/>
      <c r="BF44" s="136"/>
      <c r="BG44" s="129"/>
      <c r="BH44" s="137"/>
      <c r="BI44" s="137"/>
      <c r="BJ44" s="141"/>
      <c r="BK44" s="140"/>
      <c r="BL44" s="136"/>
      <c r="BM44" s="129"/>
      <c r="BN44" s="137"/>
      <c r="BO44" s="137"/>
      <c r="BP44" s="141"/>
      <c r="BQ44" s="140"/>
      <c r="BR44" s="136"/>
      <c r="BS44" s="129"/>
      <c r="BT44" s="137"/>
      <c r="BU44" s="137"/>
      <c r="BV44" s="142"/>
    </row>
    <row r="45" spans="1:74">
      <c r="A45" s="135"/>
      <c r="B45" s="136" t="s">
        <v>15</v>
      </c>
      <c r="C45" s="137">
        <v>1731</v>
      </c>
      <c r="D45" s="136" t="s">
        <v>695</v>
      </c>
      <c r="E45" s="137" t="s">
        <v>590</v>
      </c>
      <c r="F45" s="136" t="s">
        <v>696</v>
      </c>
      <c r="G45" s="136" t="s">
        <v>697</v>
      </c>
      <c r="H45" s="136" t="s">
        <v>562</v>
      </c>
      <c r="I45" s="136" t="s">
        <v>525</v>
      </c>
      <c r="J45" s="136" t="s">
        <v>579</v>
      </c>
      <c r="K45" s="174"/>
      <c r="L45" s="136" t="s">
        <v>527</v>
      </c>
      <c r="M45" s="138" t="s">
        <v>760</v>
      </c>
      <c r="N45" s="139"/>
      <c r="O45" s="140" t="s">
        <v>381</v>
      </c>
      <c r="P45" s="136"/>
      <c r="Q45" s="129">
        <v>2</v>
      </c>
      <c r="R45" s="137" t="s">
        <v>719</v>
      </c>
      <c r="S45" s="137"/>
      <c r="T45" s="141"/>
      <c r="U45" s="140"/>
      <c r="V45" s="136"/>
      <c r="W45" s="129"/>
      <c r="X45" s="137"/>
      <c r="Y45" s="137"/>
      <c r="Z45" s="141"/>
      <c r="AA45" s="140"/>
      <c r="AB45" s="136"/>
      <c r="AC45" s="129"/>
      <c r="AD45" s="137"/>
      <c r="AE45" s="137"/>
      <c r="AF45" s="141"/>
      <c r="AG45" s="140"/>
      <c r="AH45" s="136"/>
      <c r="AI45" s="129"/>
      <c r="AJ45" s="137"/>
      <c r="AK45" s="137"/>
      <c r="AL45" s="141"/>
      <c r="AM45" s="140"/>
      <c r="AN45" s="136"/>
      <c r="AO45" s="129"/>
      <c r="AP45" s="137"/>
      <c r="AQ45" s="137"/>
      <c r="AR45" s="141"/>
      <c r="AS45" s="140"/>
      <c r="AT45" s="136"/>
      <c r="AU45" s="129"/>
      <c r="AV45" s="137"/>
      <c r="AW45" s="137"/>
      <c r="AX45" s="141"/>
      <c r="AY45" s="140"/>
      <c r="AZ45" s="136"/>
      <c r="BA45" s="129"/>
      <c r="BB45" s="137"/>
      <c r="BC45" s="137"/>
      <c r="BD45" s="141"/>
      <c r="BE45" s="140"/>
      <c r="BF45" s="136"/>
      <c r="BG45" s="129"/>
      <c r="BH45" s="137"/>
      <c r="BI45" s="137"/>
      <c r="BJ45" s="141"/>
      <c r="BK45" s="140"/>
      <c r="BL45" s="136"/>
      <c r="BM45" s="129"/>
      <c r="BN45" s="137"/>
      <c r="BO45" s="137"/>
      <c r="BP45" s="141"/>
      <c r="BQ45" s="140"/>
      <c r="BR45" s="136"/>
      <c r="BS45" s="129"/>
      <c r="BT45" s="137"/>
      <c r="BU45" s="137"/>
      <c r="BV45" s="142"/>
    </row>
    <row r="46" spans="1:74">
      <c r="A46" s="135"/>
      <c r="B46" s="136" t="s">
        <v>15</v>
      </c>
      <c r="C46" s="137">
        <v>1720</v>
      </c>
      <c r="D46" s="136" t="s">
        <v>698</v>
      </c>
      <c r="E46" s="137" t="s">
        <v>590</v>
      </c>
      <c r="F46" s="136" t="s">
        <v>699</v>
      </c>
      <c r="G46" s="136" t="s">
        <v>700</v>
      </c>
      <c r="H46" s="136" t="s">
        <v>562</v>
      </c>
      <c r="I46" s="136" t="s">
        <v>525</v>
      </c>
      <c r="J46" s="136" t="s">
        <v>579</v>
      </c>
      <c r="K46" s="174"/>
      <c r="L46" s="136" t="s">
        <v>527</v>
      </c>
      <c r="M46" s="138" t="s">
        <v>761</v>
      </c>
      <c r="N46" s="139"/>
      <c r="O46" s="140" t="s">
        <v>381</v>
      </c>
      <c r="P46" s="136"/>
      <c r="Q46" s="129">
        <v>2</v>
      </c>
      <c r="R46" s="137" t="s">
        <v>719</v>
      </c>
      <c r="S46" s="137"/>
      <c r="T46" s="141"/>
      <c r="U46" s="140"/>
      <c r="V46" s="136"/>
      <c r="W46" s="129"/>
      <c r="X46" s="137"/>
      <c r="Y46" s="137"/>
      <c r="Z46" s="141"/>
      <c r="AA46" s="140"/>
      <c r="AB46" s="136"/>
      <c r="AC46" s="129"/>
      <c r="AD46" s="137"/>
      <c r="AE46" s="137"/>
      <c r="AF46" s="141"/>
      <c r="AG46" s="140"/>
      <c r="AH46" s="136"/>
      <c r="AI46" s="129"/>
      <c r="AJ46" s="137"/>
      <c r="AK46" s="137"/>
      <c r="AL46" s="141"/>
      <c r="AM46" s="140"/>
      <c r="AN46" s="136"/>
      <c r="AO46" s="129"/>
      <c r="AP46" s="137"/>
      <c r="AQ46" s="137"/>
      <c r="AR46" s="141"/>
      <c r="AS46" s="140"/>
      <c r="AT46" s="136"/>
      <c r="AU46" s="129"/>
      <c r="AV46" s="137"/>
      <c r="AW46" s="137"/>
      <c r="AX46" s="141"/>
      <c r="AY46" s="140"/>
      <c r="AZ46" s="136"/>
      <c r="BA46" s="129"/>
      <c r="BB46" s="137"/>
      <c r="BC46" s="137"/>
      <c r="BD46" s="141"/>
      <c r="BE46" s="140"/>
      <c r="BF46" s="136"/>
      <c r="BG46" s="129"/>
      <c r="BH46" s="137"/>
      <c r="BI46" s="137"/>
      <c r="BJ46" s="141"/>
      <c r="BK46" s="140"/>
      <c r="BL46" s="136"/>
      <c r="BM46" s="129"/>
      <c r="BN46" s="137"/>
      <c r="BO46" s="137"/>
      <c r="BP46" s="141"/>
      <c r="BQ46" s="140"/>
      <c r="BR46" s="136"/>
      <c r="BS46" s="129"/>
      <c r="BT46" s="137"/>
      <c r="BU46" s="137"/>
      <c r="BV46" s="142"/>
    </row>
    <row r="47" spans="1:74">
      <c r="A47" s="117"/>
      <c r="B47" s="115"/>
      <c r="C47" s="113"/>
      <c r="D47" s="115"/>
      <c r="E47" s="113"/>
      <c r="F47" s="115"/>
      <c r="G47" s="115"/>
      <c r="H47" s="115"/>
      <c r="I47" s="115"/>
      <c r="J47" s="115"/>
      <c r="K47" s="173"/>
      <c r="L47" s="115"/>
      <c r="M47" s="130"/>
      <c r="N47" s="133"/>
      <c r="O47" s="116"/>
      <c r="P47" s="115"/>
      <c r="Q47" s="129"/>
      <c r="R47" s="113"/>
      <c r="S47" s="113"/>
      <c r="T47" s="114"/>
      <c r="U47" s="116"/>
      <c r="V47" s="115"/>
      <c r="W47" s="129"/>
      <c r="X47" s="113"/>
      <c r="Y47" s="113"/>
      <c r="Z47" s="114"/>
      <c r="AA47" s="116"/>
      <c r="AB47" s="115"/>
      <c r="AC47" s="129"/>
      <c r="AD47" s="113"/>
      <c r="AE47" s="113"/>
      <c r="AF47" s="114"/>
      <c r="AG47" s="116"/>
      <c r="AH47" s="115"/>
      <c r="AI47" s="129"/>
      <c r="AJ47" s="113"/>
      <c r="AK47" s="113"/>
      <c r="AL47" s="114"/>
      <c r="AM47" s="116"/>
      <c r="AN47" s="115"/>
      <c r="AO47" s="129"/>
      <c r="AP47" s="113"/>
      <c r="AQ47" s="113"/>
      <c r="AR47" s="114"/>
      <c r="AS47" s="116"/>
      <c r="AT47" s="115"/>
      <c r="AU47" s="129"/>
      <c r="AV47" s="113"/>
      <c r="AW47" s="113"/>
      <c r="AX47" s="114"/>
      <c r="AY47" s="116"/>
      <c r="AZ47" s="115"/>
      <c r="BA47" s="129"/>
      <c r="BB47" s="113"/>
      <c r="BC47" s="113"/>
      <c r="BD47" s="114"/>
      <c r="BE47" s="116"/>
      <c r="BF47" s="115"/>
      <c r="BG47" s="129"/>
      <c r="BH47" s="113"/>
      <c r="BI47" s="113"/>
      <c r="BJ47" s="114"/>
      <c r="BK47" s="116"/>
      <c r="BL47" s="115"/>
      <c r="BM47" s="129"/>
      <c r="BN47" s="113"/>
      <c r="BO47" s="113"/>
      <c r="BP47" s="114"/>
      <c r="BQ47" s="116"/>
      <c r="BR47" s="115"/>
      <c r="BS47" s="129"/>
      <c r="BT47" s="113"/>
      <c r="BU47" s="113"/>
      <c r="BV47" s="118"/>
    </row>
  </sheetData>
  <phoneticPr fontId="1"/>
  <dataValidations count="2">
    <dataValidation type="list" allowBlank="1" showInputMessage="1" showErrorMessage="1" sqref="B5:B47" xr:uid="{8256A674-D537-4AEE-AAE0-6547755B49DB}">
      <formula1>OFFSET(Code_Sex,0,1,,1)</formula1>
    </dataValidation>
    <dataValidation type="list" allowBlank="1" showInputMessage="1" showErrorMessage="1" sqref="O5:O47 U5:U47 AA5:AA47 AG5:AG47 AM5:AM47 AS5:AS47 AY5:AY47 BE5:BE47 BK5:BK47 BQ5:BQ47" xr:uid="{491F4CB8-DB4D-416D-B6F4-A501398336AC}">
      <formula1>OFFSET(INDIRECT("CompetitionEventList"),0, 13,,1)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C2185-9C16-4117-9E23-603B344A01B6}">
  <sheetPr codeName="GameRecordSheet"/>
  <dimension ref="A1:S24"/>
  <sheetViews>
    <sheetView workbookViewId="0">
      <selection activeCell="A4" sqref="A4"/>
    </sheetView>
  </sheetViews>
  <sheetFormatPr defaultRowHeight="13.5"/>
  <cols>
    <col min="1" max="1" width="25.625" customWidth="1"/>
    <col min="2" max="2" width="7.625" customWidth="1"/>
    <col min="3" max="3" width="20.625" customWidth="1"/>
    <col min="5" max="5" width="12.875" customWidth="1"/>
    <col min="6" max="6" width="10" bestFit="1" customWidth="1"/>
    <col min="7" max="8" width="30.875" customWidth="1"/>
    <col min="9" max="10" width="7.125" customWidth="1"/>
    <col min="11" max="13" width="6.625" customWidth="1"/>
    <col min="14" max="15" width="20.625" customWidth="1"/>
    <col min="16" max="16" width="9" hidden="1" customWidth="1"/>
    <col min="17" max="18" width="9.25" hidden="1" customWidth="1"/>
    <col min="19" max="19" width="9.125" hidden="1" customWidth="1"/>
  </cols>
  <sheetData>
    <row r="1" spans="1:19" ht="28.5">
      <c r="A1" s="15" t="s">
        <v>532</v>
      </c>
      <c r="B1" s="15"/>
    </row>
    <row r="3" spans="1:19" s="147" customFormat="1" ht="30" customHeight="1" thickBot="1">
      <c r="A3" s="157" t="s">
        <v>84</v>
      </c>
      <c r="B3" s="158" t="s">
        <v>539</v>
      </c>
      <c r="C3" s="159" t="s">
        <v>533</v>
      </c>
      <c r="D3" s="158" t="s">
        <v>542</v>
      </c>
      <c r="E3" s="159" t="s">
        <v>534</v>
      </c>
      <c r="F3" s="158" t="s">
        <v>535</v>
      </c>
      <c r="G3" s="159" t="s">
        <v>536</v>
      </c>
      <c r="H3" s="159" t="s">
        <v>545</v>
      </c>
      <c r="I3" s="158" t="s">
        <v>413</v>
      </c>
      <c r="J3" s="158" t="s">
        <v>414</v>
      </c>
      <c r="K3" s="158" t="s">
        <v>409</v>
      </c>
      <c r="L3" s="158" t="s">
        <v>537</v>
      </c>
      <c r="M3" s="158" t="s">
        <v>538</v>
      </c>
      <c r="N3" s="158" t="s">
        <v>541</v>
      </c>
      <c r="O3" s="160" t="s">
        <v>491</v>
      </c>
      <c r="P3" s="161" t="s">
        <v>87</v>
      </c>
      <c r="Q3" s="158" t="s">
        <v>362</v>
      </c>
      <c r="R3" s="162" t="s">
        <v>540</v>
      </c>
      <c r="S3" s="162" t="s">
        <v>558</v>
      </c>
    </row>
    <row r="4" spans="1:19" ht="14.25" thickTop="1">
      <c r="A4" s="143" t="s">
        <v>762</v>
      </c>
      <c r="B4" s="144">
        <v>1</v>
      </c>
      <c r="C4" s="144" t="s">
        <v>553</v>
      </c>
      <c r="D4" s="144" t="s">
        <v>764</v>
      </c>
      <c r="E4" s="170" t="s">
        <v>773</v>
      </c>
      <c r="F4" s="144" t="s">
        <v>20</v>
      </c>
      <c r="G4" s="144" t="s">
        <v>554</v>
      </c>
      <c r="H4" s="144" t="s">
        <v>803</v>
      </c>
      <c r="I4" s="144"/>
      <c r="J4" s="144" t="s">
        <v>526</v>
      </c>
      <c r="K4" s="144">
        <v>1979</v>
      </c>
      <c r="L4" s="144">
        <v>7</v>
      </c>
      <c r="M4" s="144">
        <v>11</v>
      </c>
      <c r="N4" s="144" t="s">
        <v>810</v>
      </c>
      <c r="O4" s="145"/>
      <c r="P4" s="148" t="s">
        <v>546</v>
      </c>
      <c r="Q4" s="149">
        <f t="shared" ref="Q4:Q6" ca="1" si="0">IF($A4="","",VLOOKUP($A4,OFFSET(INDIRECT("CompetitionEventList"),0,13),2,FALSE
))</f>
        <v>1</v>
      </c>
      <c r="R4" s="150">
        <f ca="1">IF(GameRecordList[[#This Row],[精度]]="","",VLOOKUP(GameRecordList[[#This Row],[精度]],OFFSET(Code_Result_Unit,0,1),2,FALSE))</f>
        <v>1</v>
      </c>
      <c r="S4" s="150"/>
    </row>
    <row r="5" spans="1:19">
      <c r="A5" s="17" t="s">
        <v>381</v>
      </c>
      <c r="B5" s="70">
        <v>1</v>
      </c>
      <c r="C5" s="70" t="s">
        <v>553</v>
      </c>
      <c r="D5" s="70" t="s">
        <v>764</v>
      </c>
      <c r="E5" s="171" t="s">
        <v>774</v>
      </c>
      <c r="F5" s="70" t="s">
        <v>17</v>
      </c>
      <c r="G5" s="70" t="s">
        <v>790</v>
      </c>
      <c r="H5" s="70" t="s">
        <v>804</v>
      </c>
      <c r="I5" s="70"/>
      <c r="J5" s="70" t="s">
        <v>526</v>
      </c>
      <c r="K5" s="70">
        <v>2011</v>
      </c>
      <c r="L5" s="70">
        <v>7</v>
      </c>
      <c r="M5" s="70">
        <v>29</v>
      </c>
      <c r="N5" s="70" t="s">
        <v>810</v>
      </c>
      <c r="O5" s="89"/>
      <c r="P5" s="151" t="s">
        <v>555</v>
      </c>
      <c r="Q5" s="152">
        <f t="shared" ca="1" si="0"/>
        <v>2</v>
      </c>
      <c r="R5" s="153">
        <f ca="1">IF(GameRecordList[[#This Row],[精度]]="","",VLOOKUP(GameRecordList[[#This Row],[精度]],OFFSET(Code_Result_Unit,0,1),2,FALSE))</f>
        <v>2</v>
      </c>
      <c r="S5" s="153"/>
    </row>
    <row r="6" spans="1:19">
      <c r="A6" s="18" t="s">
        <v>380</v>
      </c>
      <c r="B6" s="66">
        <v>1</v>
      </c>
      <c r="C6" s="66" t="s">
        <v>553</v>
      </c>
      <c r="D6" s="66" t="s">
        <v>764</v>
      </c>
      <c r="E6" s="172" t="s">
        <v>775</v>
      </c>
      <c r="F6" s="66" t="s">
        <v>17</v>
      </c>
      <c r="G6" s="66" t="s">
        <v>791</v>
      </c>
      <c r="H6" s="66" t="s">
        <v>805</v>
      </c>
      <c r="I6" s="66"/>
      <c r="J6" s="66" t="s">
        <v>526</v>
      </c>
      <c r="K6" s="66">
        <v>1993</v>
      </c>
      <c r="L6" s="66">
        <v>6</v>
      </c>
      <c r="M6" s="66">
        <v>27</v>
      </c>
      <c r="N6" s="66" t="s">
        <v>810</v>
      </c>
      <c r="O6" s="86"/>
      <c r="P6" s="154" t="s">
        <v>556</v>
      </c>
      <c r="Q6" s="155">
        <f t="shared" ca="1" si="0"/>
        <v>3</v>
      </c>
      <c r="R6" s="156">
        <f ca="1">IF(GameRecordList[[#This Row],[精度]]="","",VLOOKUP(GameRecordList[[#This Row],[精度]],OFFSET(Code_Result_Unit,0,1),2,FALSE))</f>
        <v>2</v>
      </c>
      <c r="S6" s="156"/>
    </row>
    <row r="7" spans="1:19">
      <c r="A7" s="18" t="s">
        <v>763</v>
      </c>
      <c r="B7" s="66">
        <v>1</v>
      </c>
      <c r="C7" s="66" t="s">
        <v>553</v>
      </c>
      <c r="D7" s="66" t="s">
        <v>764</v>
      </c>
      <c r="E7" s="172" t="s">
        <v>776</v>
      </c>
      <c r="F7" s="66" t="s">
        <v>17</v>
      </c>
      <c r="G7" s="66" t="s">
        <v>792</v>
      </c>
      <c r="H7" s="66" t="s">
        <v>806</v>
      </c>
      <c r="I7" s="66"/>
      <c r="J7" s="66" t="s">
        <v>526</v>
      </c>
      <c r="K7" s="66">
        <v>2003</v>
      </c>
      <c r="L7" s="66">
        <v>6</v>
      </c>
      <c r="M7" s="66">
        <v>8</v>
      </c>
      <c r="N7" s="66" t="s">
        <v>810</v>
      </c>
      <c r="O7" s="86"/>
      <c r="P7" s="155" t="s">
        <v>557</v>
      </c>
      <c r="Q7" s="155">
        <f t="shared" ref="Q7:Q21" ca="1" si="1">IF($A7="","",VLOOKUP($A7,OFFSET(INDIRECT("CompetitionEventList"),0,13),2,FALSE
))</f>
        <v>4</v>
      </c>
      <c r="R7" s="156">
        <f ca="1">IF(GameRecordList[[#This Row],[精度]]="","",VLOOKUP(GameRecordList[[#This Row],[精度]],OFFSET(Code_Result_Unit,0,1),2,FALSE))</f>
        <v>2</v>
      </c>
      <c r="S7" s="156"/>
    </row>
    <row r="8" spans="1:19">
      <c r="A8" s="18" t="s">
        <v>762</v>
      </c>
      <c r="B8" s="66">
        <v>2</v>
      </c>
      <c r="C8" s="66" t="s">
        <v>766</v>
      </c>
      <c r="D8" s="66" t="s">
        <v>765</v>
      </c>
      <c r="E8" s="172" t="s">
        <v>777</v>
      </c>
      <c r="F8" s="66" t="s">
        <v>17</v>
      </c>
      <c r="G8" s="66" t="s">
        <v>793</v>
      </c>
      <c r="H8" s="66" t="s">
        <v>807</v>
      </c>
      <c r="I8" s="66"/>
      <c r="J8" s="66" t="s">
        <v>526</v>
      </c>
      <c r="K8" s="66">
        <v>2020</v>
      </c>
      <c r="L8" s="66">
        <v>7</v>
      </c>
      <c r="M8" s="66">
        <v>4</v>
      </c>
      <c r="N8" s="66" t="s">
        <v>809</v>
      </c>
      <c r="O8" s="86"/>
      <c r="P8" s="155" t="s">
        <v>814</v>
      </c>
      <c r="Q8" s="155">
        <f t="shared" ca="1" si="1"/>
        <v>1</v>
      </c>
      <c r="R8" s="156">
        <f ca="1">IF(GameRecordList[[#This Row],[精度]]="","",VLOOKUP(GameRecordList[[#This Row],[精度]],OFFSET(Code_Result_Unit,0,1),2,FALSE))</f>
        <v>2</v>
      </c>
      <c r="S8" s="156"/>
    </row>
    <row r="9" spans="1:19">
      <c r="A9" s="18" t="s">
        <v>381</v>
      </c>
      <c r="B9" s="66">
        <v>2</v>
      </c>
      <c r="C9" s="66" t="s">
        <v>766</v>
      </c>
      <c r="D9" s="66" t="s">
        <v>765</v>
      </c>
      <c r="E9" s="172" t="s">
        <v>778</v>
      </c>
      <c r="F9" s="66" t="s">
        <v>17</v>
      </c>
      <c r="G9" s="66" t="s">
        <v>794</v>
      </c>
      <c r="H9" s="66" t="s">
        <v>562</v>
      </c>
      <c r="I9" s="66"/>
      <c r="J9" s="66" t="s">
        <v>802</v>
      </c>
      <c r="K9" s="66">
        <v>2011</v>
      </c>
      <c r="L9" s="66">
        <v>10</v>
      </c>
      <c r="M9" s="66">
        <v>21</v>
      </c>
      <c r="N9" s="66" t="s">
        <v>809</v>
      </c>
      <c r="O9" s="86"/>
      <c r="P9" s="155" t="s">
        <v>815</v>
      </c>
      <c r="Q9" s="155">
        <f t="shared" ca="1" si="1"/>
        <v>2</v>
      </c>
      <c r="R9" s="156">
        <f ca="1">IF(GameRecordList[[#This Row],[精度]]="","",VLOOKUP(GameRecordList[[#This Row],[精度]],OFFSET(Code_Result_Unit,0,1),2,FALSE))</f>
        <v>2</v>
      </c>
      <c r="S9" s="156"/>
    </row>
    <row r="10" spans="1:19">
      <c r="A10" s="18" t="s">
        <v>380</v>
      </c>
      <c r="B10" s="66">
        <v>2</v>
      </c>
      <c r="C10" s="66" t="s">
        <v>766</v>
      </c>
      <c r="D10" s="66" t="s">
        <v>765</v>
      </c>
      <c r="E10" s="172" t="s">
        <v>779</v>
      </c>
      <c r="F10" s="66" t="s">
        <v>17</v>
      </c>
      <c r="G10" s="66" t="s">
        <v>795</v>
      </c>
      <c r="H10" s="66" t="s">
        <v>808</v>
      </c>
      <c r="I10" s="66"/>
      <c r="J10" s="66" t="s">
        <v>802</v>
      </c>
      <c r="K10" s="66">
        <v>2022</v>
      </c>
      <c r="L10" s="66">
        <v>5</v>
      </c>
      <c r="M10" s="66">
        <v>14</v>
      </c>
      <c r="N10" s="66" t="s">
        <v>809</v>
      </c>
      <c r="O10" s="86"/>
      <c r="P10" s="155" t="s">
        <v>816</v>
      </c>
      <c r="Q10" s="155">
        <f t="shared" ca="1" si="1"/>
        <v>3</v>
      </c>
      <c r="R10" s="156">
        <f ca="1">IF(GameRecordList[[#This Row],[精度]]="","",VLOOKUP(GameRecordList[[#This Row],[精度]],OFFSET(Code_Result_Unit,0,1),2,FALSE))</f>
        <v>2</v>
      </c>
      <c r="S10" s="156"/>
    </row>
    <row r="11" spans="1:19">
      <c r="A11" s="18" t="s">
        <v>763</v>
      </c>
      <c r="B11" s="66">
        <v>2</v>
      </c>
      <c r="C11" s="66" t="s">
        <v>766</v>
      </c>
      <c r="D11" s="66" t="s">
        <v>765</v>
      </c>
      <c r="E11" s="172" t="s">
        <v>780</v>
      </c>
      <c r="F11" s="66" t="s">
        <v>17</v>
      </c>
      <c r="G11" s="66" t="s">
        <v>795</v>
      </c>
      <c r="H11" s="66" t="s">
        <v>808</v>
      </c>
      <c r="I11" s="66"/>
      <c r="J11" s="66" t="s">
        <v>802</v>
      </c>
      <c r="K11" s="66">
        <v>2022</v>
      </c>
      <c r="L11" s="66">
        <v>5</v>
      </c>
      <c r="M11" s="66">
        <v>7</v>
      </c>
      <c r="N11" s="66" t="s">
        <v>809</v>
      </c>
      <c r="O11" s="86"/>
      <c r="P11" s="155" t="s">
        <v>817</v>
      </c>
      <c r="Q11" s="155">
        <f t="shared" ca="1" si="1"/>
        <v>4</v>
      </c>
      <c r="R11" s="156">
        <f ca="1">IF(GameRecordList[[#This Row],[精度]]="","",VLOOKUP(GameRecordList[[#This Row],[精度]],OFFSET(Code_Result_Unit,0,1),2,FALSE))</f>
        <v>2</v>
      </c>
      <c r="S11" s="156"/>
    </row>
    <row r="12" spans="1:19">
      <c r="A12" s="18" t="s">
        <v>762</v>
      </c>
      <c r="B12" s="66">
        <v>11</v>
      </c>
      <c r="C12" s="66" t="s">
        <v>769</v>
      </c>
      <c r="D12" s="66" t="s">
        <v>767</v>
      </c>
      <c r="E12" s="172" t="s">
        <v>781</v>
      </c>
      <c r="F12" s="66" t="s">
        <v>17</v>
      </c>
      <c r="G12" s="66" t="s">
        <v>796</v>
      </c>
      <c r="H12" s="66" t="s">
        <v>562</v>
      </c>
      <c r="I12" s="66"/>
      <c r="J12" s="66" t="s">
        <v>526</v>
      </c>
      <c r="K12" s="66">
        <v>2016</v>
      </c>
      <c r="L12" s="66">
        <v>4</v>
      </c>
      <c r="M12" s="66">
        <v>10</v>
      </c>
      <c r="N12" s="66" t="s">
        <v>811</v>
      </c>
      <c r="O12" s="86"/>
      <c r="P12" s="155" t="s">
        <v>818</v>
      </c>
      <c r="Q12" s="155">
        <f t="shared" ca="1" si="1"/>
        <v>1</v>
      </c>
      <c r="R12" s="156">
        <f ca="1">IF(GameRecordList[[#This Row],[精度]]="","",VLOOKUP(GameRecordList[[#This Row],[精度]],OFFSET(Code_Result_Unit,0,1),2,FALSE))</f>
        <v>2</v>
      </c>
      <c r="S12" s="156"/>
    </row>
    <row r="13" spans="1:19">
      <c r="A13" s="18" t="s">
        <v>381</v>
      </c>
      <c r="B13" s="66">
        <v>11</v>
      </c>
      <c r="C13" s="66" t="s">
        <v>769</v>
      </c>
      <c r="D13" s="66" t="s">
        <v>767</v>
      </c>
      <c r="E13" s="172" t="s">
        <v>782</v>
      </c>
      <c r="F13" s="66" t="s">
        <v>17</v>
      </c>
      <c r="G13" s="66" t="s">
        <v>796</v>
      </c>
      <c r="H13" s="66" t="s">
        <v>562</v>
      </c>
      <c r="I13" s="66"/>
      <c r="J13" s="66" t="s">
        <v>526</v>
      </c>
      <c r="K13" s="66">
        <v>2015</v>
      </c>
      <c r="L13" s="66">
        <v>10</v>
      </c>
      <c r="M13" s="66">
        <v>17</v>
      </c>
      <c r="N13" s="66" t="s">
        <v>811</v>
      </c>
      <c r="O13" s="86"/>
      <c r="P13" s="155" t="s">
        <v>819</v>
      </c>
      <c r="Q13" s="155">
        <f t="shared" ca="1" si="1"/>
        <v>2</v>
      </c>
      <c r="R13" s="156">
        <f ca="1">IF(GameRecordList[[#This Row],[精度]]="","",VLOOKUP(GameRecordList[[#This Row],[精度]],OFFSET(Code_Result_Unit,0,1),2,FALSE))</f>
        <v>2</v>
      </c>
      <c r="S13" s="156"/>
    </row>
    <row r="14" spans="1:19">
      <c r="A14" s="18" t="s">
        <v>380</v>
      </c>
      <c r="B14" s="66">
        <v>11</v>
      </c>
      <c r="C14" s="66" t="s">
        <v>769</v>
      </c>
      <c r="D14" s="66" t="s">
        <v>767</v>
      </c>
      <c r="E14" s="172" t="s">
        <v>784</v>
      </c>
      <c r="F14" s="66" t="s">
        <v>17</v>
      </c>
      <c r="G14" s="66" t="s">
        <v>797</v>
      </c>
      <c r="H14" s="66" t="s">
        <v>562</v>
      </c>
      <c r="I14" s="66"/>
      <c r="J14" s="66" t="s">
        <v>526</v>
      </c>
      <c r="K14" s="66">
        <v>2015</v>
      </c>
      <c r="L14" s="66">
        <v>11</v>
      </c>
      <c r="M14" s="66">
        <v>14</v>
      </c>
      <c r="N14" s="66" t="s">
        <v>811</v>
      </c>
      <c r="O14" s="86"/>
      <c r="P14" s="155" t="s">
        <v>820</v>
      </c>
      <c r="Q14" s="155">
        <f t="shared" ca="1" si="1"/>
        <v>3</v>
      </c>
      <c r="R14" s="156">
        <f ca="1">IF(GameRecordList[[#This Row],[精度]]="","",VLOOKUP(GameRecordList[[#This Row],[精度]],OFFSET(Code_Result_Unit,0,1),2,FALSE))</f>
        <v>2</v>
      </c>
      <c r="S14" s="156"/>
    </row>
    <row r="15" spans="1:19">
      <c r="A15" s="18" t="s">
        <v>763</v>
      </c>
      <c r="B15" s="66">
        <v>11</v>
      </c>
      <c r="C15" s="66" t="s">
        <v>769</v>
      </c>
      <c r="D15" s="66" t="s">
        <v>767</v>
      </c>
      <c r="E15" s="172" t="s">
        <v>785</v>
      </c>
      <c r="F15" s="66" t="s">
        <v>17</v>
      </c>
      <c r="G15" s="66" t="s">
        <v>797</v>
      </c>
      <c r="H15" s="66" t="s">
        <v>562</v>
      </c>
      <c r="I15" s="66"/>
      <c r="J15" s="66" t="s">
        <v>526</v>
      </c>
      <c r="K15" s="66">
        <v>2015</v>
      </c>
      <c r="L15" s="66">
        <v>10</v>
      </c>
      <c r="M15" s="66">
        <v>17</v>
      </c>
      <c r="N15" s="66" t="s">
        <v>811</v>
      </c>
      <c r="O15" s="86"/>
      <c r="P15" s="155" t="s">
        <v>821</v>
      </c>
      <c r="Q15" s="155">
        <f t="shared" ca="1" si="1"/>
        <v>4</v>
      </c>
      <c r="R15" s="156">
        <f ca="1">IF(GameRecordList[[#This Row],[精度]]="","",VLOOKUP(GameRecordList[[#This Row],[精度]],OFFSET(Code_Result_Unit,0,1),2,FALSE))</f>
        <v>2</v>
      </c>
      <c r="S15" s="156"/>
    </row>
    <row r="16" spans="1:19">
      <c r="A16" s="18" t="s">
        <v>762</v>
      </c>
      <c r="B16" s="66">
        <v>12</v>
      </c>
      <c r="C16" s="66" t="s">
        <v>770</v>
      </c>
      <c r="D16" s="66" t="s">
        <v>768</v>
      </c>
      <c r="E16" s="172" t="s">
        <v>783</v>
      </c>
      <c r="F16" s="66" t="s">
        <v>17</v>
      </c>
      <c r="G16" s="66" t="s">
        <v>794</v>
      </c>
      <c r="H16" s="66" t="s">
        <v>562</v>
      </c>
      <c r="I16" s="66"/>
      <c r="J16" s="66" t="s">
        <v>802</v>
      </c>
      <c r="K16" s="66">
        <v>2011</v>
      </c>
      <c r="L16" s="66">
        <v>7</v>
      </c>
      <c r="M16" s="66">
        <v>2</v>
      </c>
      <c r="N16" s="66" t="s">
        <v>812</v>
      </c>
      <c r="O16" s="86"/>
      <c r="P16" s="155" t="s">
        <v>822</v>
      </c>
      <c r="Q16" s="155">
        <f t="shared" ca="1" si="1"/>
        <v>1</v>
      </c>
      <c r="R16" s="156">
        <f ca="1">IF(GameRecordList[[#This Row],[精度]]="","",VLOOKUP(GameRecordList[[#This Row],[精度]],OFFSET(Code_Result_Unit,0,1),2,FALSE))</f>
        <v>2</v>
      </c>
      <c r="S16" s="156"/>
    </row>
    <row r="17" spans="1:19">
      <c r="A17" s="18" t="s">
        <v>381</v>
      </c>
      <c r="B17" s="66">
        <v>12</v>
      </c>
      <c r="C17" s="66" t="s">
        <v>770</v>
      </c>
      <c r="D17" s="66" t="s">
        <v>768</v>
      </c>
      <c r="E17" s="172" t="s">
        <v>778</v>
      </c>
      <c r="F17" s="66" t="s">
        <v>17</v>
      </c>
      <c r="G17" s="66" t="s">
        <v>794</v>
      </c>
      <c r="H17" s="66" t="s">
        <v>562</v>
      </c>
      <c r="I17" s="66"/>
      <c r="J17" s="66" t="s">
        <v>802</v>
      </c>
      <c r="K17" s="66">
        <v>2011</v>
      </c>
      <c r="L17" s="66">
        <v>10</v>
      </c>
      <c r="M17" s="66">
        <v>21</v>
      </c>
      <c r="N17" s="66" t="s">
        <v>812</v>
      </c>
      <c r="O17" s="86"/>
      <c r="P17" s="155" t="s">
        <v>823</v>
      </c>
      <c r="Q17" s="155">
        <f t="shared" ca="1" si="1"/>
        <v>2</v>
      </c>
      <c r="R17" s="156">
        <f ca="1">IF(GameRecordList[[#This Row],[精度]]="","",VLOOKUP(GameRecordList[[#This Row],[精度]],OFFSET(Code_Result_Unit,0,1),2,FALSE))</f>
        <v>2</v>
      </c>
      <c r="S17" s="156"/>
    </row>
    <row r="18" spans="1:19">
      <c r="A18" s="18" t="s">
        <v>380</v>
      </c>
      <c r="B18" s="66">
        <v>12</v>
      </c>
      <c r="C18" s="66" t="s">
        <v>770</v>
      </c>
      <c r="D18" s="66" t="s">
        <v>768</v>
      </c>
      <c r="E18" s="172" t="s">
        <v>786</v>
      </c>
      <c r="F18" s="66" t="s">
        <v>17</v>
      </c>
      <c r="G18" s="66" t="s">
        <v>795</v>
      </c>
      <c r="H18" s="66" t="s">
        <v>562</v>
      </c>
      <c r="I18" s="66"/>
      <c r="J18" s="66" t="s">
        <v>802</v>
      </c>
      <c r="K18" s="66">
        <v>2019</v>
      </c>
      <c r="L18" s="66">
        <v>10</v>
      </c>
      <c r="M18" s="66">
        <v>7</v>
      </c>
      <c r="N18" s="66" t="s">
        <v>812</v>
      </c>
      <c r="O18" s="86"/>
      <c r="P18" s="155" t="s">
        <v>824</v>
      </c>
      <c r="Q18" s="155">
        <f t="shared" ca="1" si="1"/>
        <v>3</v>
      </c>
      <c r="R18" s="156">
        <f ca="1">IF(GameRecordList[[#This Row],[精度]]="","",VLOOKUP(GameRecordList[[#This Row],[精度]],OFFSET(Code_Result_Unit,0,1),2,FALSE))</f>
        <v>2</v>
      </c>
      <c r="S18" s="156"/>
    </row>
    <row r="19" spans="1:19">
      <c r="A19" s="18" t="s">
        <v>763</v>
      </c>
      <c r="B19" s="66">
        <v>12</v>
      </c>
      <c r="C19" s="66" t="s">
        <v>770</v>
      </c>
      <c r="D19" s="66" t="s">
        <v>768</v>
      </c>
      <c r="E19" s="172" t="s">
        <v>787</v>
      </c>
      <c r="F19" s="66" t="s">
        <v>20</v>
      </c>
      <c r="G19" s="66" t="s">
        <v>798</v>
      </c>
      <c r="H19" s="66" t="s">
        <v>562</v>
      </c>
      <c r="I19" s="66"/>
      <c r="J19" s="66" t="s">
        <v>802</v>
      </c>
      <c r="K19" s="66">
        <v>2011</v>
      </c>
      <c r="L19" s="66">
        <v>11</v>
      </c>
      <c r="M19" s="66">
        <v>26</v>
      </c>
      <c r="N19" s="66" t="s">
        <v>812</v>
      </c>
      <c r="O19" s="86"/>
      <c r="P19" s="155" t="s">
        <v>825</v>
      </c>
      <c r="Q19" s="155">
        <f t="shared" ca="1" si="1"/>
        <v>4</v>
      </c>
      <c r="R19" s="156">
        <f ca="1">IF(GameRecordList[[#This Row],[精度]]="","",VLOOKUP(GameRecordList[[#This Row],[精度]],OFFSET(Code_Result_Unit,0,1),2,FALSE))</f>
        <v>1</v>
      </c>
      <c r="S19" s="156"/>
    </row>
    <row r="20" spans="1:19">
      <c r="A20" s="18" t="s">
        <v>762</v>
      </c>
      <c r="B20" s="66">
        <v>21</v>
      </c>
      <c r="C20" s="66" t="s">
        <v>772</v>
      </c>
      <c r="D20" s="66" t="s">
        <v>771</v>
      </c>
      <c r="E20" s="172" t="s">
        <v>788</v>
      </c>
      <c r="F20" s="66" t="s">
        <v>17</v>
      </c>
      <c r="G20" s="66" t="s">
        <v>799</v>
      </c>
      <c r="H20" s="66" t="s">
        <v>801</v>
      </c>
      <c r="I20" s="66"/>
      <c r="J20" s="66" t="s">
        <v>526</v>
      </c>
      <c r="K20" s="66">
        <v>2012</v>
      </c>
      <c r="L20" s="66">
        <v>10</v>
      </c>
      <c r="M20" s="66">
        <v>28</v>
      </c>
      <c r="N20" s="66" t="s">
        <v>813</v>
      </c>
      <c r="O20" s="86"/>
      <c r="P20" s="155" t="s">
        <v>826</v>
      </c>
      <c r="Q20" s="155">
        <f t="shared" ca="1" si="1"/>
        <v>1</v>
      </c>
      <c r="R20" s="156">
        <f ca="1">IF(GameRecordList[[#This Row],[精度]]="","",VLOOKUP(GameRecordList[[#This Row],[精度]],OFFSET(Code_Result_Unit,0,1),2,FALSE))</f>
        <v>2</v>
      </c>
      <c r="S20" s="156"/>
    </row>
    <row r="21" spans="1:19">
      <c r="A21" s="18" t="s">
        <v>380</v>
      </c>
      <c r="B21" s="66">
        <v>21</v>
      </c>
      <c r="C21" s="66" t="s">
        <v>772</v>
      </c>
      <c r="D21" s="66" t="s">
        <v>771</v>
      </c>
      <c r="E21" s="172" t="s">
        <v>789</v>
      </c>
      <c r="F21" s="66" t="s">
        <v>17</v>
      </c>
      <c r="G21" s="66" t="s">
        <v>800</v>
      </c>
      <c r="H21" s="66" t="s">
        <v>801</v>
      </c>
      <c r="I21" s="66"/>
      <c r="J21" s="66" t="s">
        <v>526</v>
      </c>
      <c r="K21" s="66">
        <v>1989</v>
      </c>
      <c r="L21" s="66">
        <v>5</v>
      </c>
      <c r="M21" s="66">
        <v>3</v>
      </c>
      <c r="N21" s="66" t="s">
        <v>813</v>
      </c>
      <c r="O21" s="86"/>
      <c r="P21" s="155" t="s">
        <v>827</v>
      </c>
      <c r="Q21" s="155">
        <f t="shared" ca="1" si="1"/>
        <v>3</v>
      </c>
      <c r="R21" s="156">
        <f ca="1">IF(GameRecordList[[#This Row],[精度]]="","",VLOOKUP(GameRecordList[[#This Row],[精度]],OFFSET(Code_Result_Unit,0,1),2,FALSE))</f>
        <v>2</v>
      </c>
      <c r="S21" s="156"/>
    </row>
    <row r="22" spans="1:19">
      <c r="A22" s="18"/>
      <c r="B22" s="66"/>
      <c r="C22" s="66"/>
      <c r="D22" s="66"/>
      <c r="E22" s="146"/>
      <c r="F22" s="66"/>
      <c r="G22" s="66"/>
      <c r="H22" s="66"/>
      <c r="I22" s="66"/>
      <c r="J22" s="66"/>
      <c r="K22" s="66"/>
      <c r="L22" s="66"/>
      <c r="M22" s="66"/>
      <c r="N22" s="66"/>
      <c r="O22" s="86"/>
      <c r="P22" s="155"/>
      <c r="Q22" s="155" t="str">
        <f ca="1">IF($A22="","",VLOOKUP($A22,OFFSET(INDIRECT("CompetitionEventList"),0,13),2,FALSE
))</f>
        <v/>
      </c>
      <c r="R22" s="156" t="str">
        <f ca="1">IF(GameRecordList[[#This Row],[精度]]="","",VLOOKUP(GameRecordList[[#This Row],[精度]],OFFSET(Code_Result_Unit,0,1),2,FALSE))</f>
        <v/>
      </c>
      <c r="S22" s="156"/>
    </row>
    <row r="23" spans="1:19">
      <c r="A23" s="18"/>
      <c r="B23" s="66"/>
      <c r="C23" s="66"/>
      <c r="D23" s="66"/>
      <c r="E23" s="146"/>
      <c r="F23" s="66"/>
      <c r="G23" s="66"/>
      <c r="H23" s="66"/>
      <c r="I23" s="66"/>
      <c r="J23" s="66"/>
      <c r="K23" s="66"/>
      <c r="L23" s="66"/>
      <c r="M23" s="66"/>
      <c r="N23" s="66"/>
      <c r="O23" s="86"/>
      <c r="P23" s="155"/>
      <c r="Q23" s="155" t="str">
        <f ca="1">IF($A23="","",VLOOKUP($A23,OFFSET(INDIRECT("CompetitionEventList"),0,13),2,FALSE
))</f>
        <v/>
      </c>
      <c r="R23" s="156" t="str">
        <f ca="1">IF(GameRecordList[[#This Row],[精度]]="","",VLOOKUP(GameRecordList[[#This Row],[精度]],OFFSET(Code_Result_Unit,0,1),2,FALSE))</f>
        <v/>
      </c>
      <c r="S23" s="156"/>
    </row>
    <row r="24" spans="1:19">
      <c r="A24" s="18"/>
      <c r="B24" s="66"/>
      <c r="C24" s="66"/>
      <c r="D24" s="66"/>
      <c r="E24" s="146"/>
      <c r="F24" s="66"/>
      <c r="G24" s="66"/>
      <c r="H24" s="66"/>
      <c r="I24" s="66"/>
      <c r="J24" s="66"/>
      <c r="K24" s="66"/>
      <c r="L24" s="66"/>
      <c r="M24" s="66"/>
      <c r="N24" s="66"/>
      <c r="O24" s="86"/>
      <c r="P24" s="155"/>
      <c r="Q24" s="155" t="str">
        <f ca="1">IF($A24="","",VLOOKUP($A24,OFFSET(INDIRECT("CompetitionEventList"),0,13),2,FALSE
))</f>
        <v/>
      </c>
      <c r="R24" s="156" t="str">
        <f ca="1">IF(GameRecordList[[#This Row],[精度]]="","",VLOOKUP(GameRecordList[[#This Row],[精度]],OFFSET(Code_Result_Unit,0,1),2,FALSE))</f>
        <v/>
      </c>
      <c r="S24" s="156"/>
    </row>
  </sheetData>
  <phoneticPr fontId="1"/>
  <dataValidations count="2">
    <dataValidation type="list" allowBlank="1" showInputMessage="1" showErrorMessage="1" sqref="A4:A24" xr:uid="{F19090C2-F443-4D88-A59F-EAC71309C4F9}">
      <formula1>OFFSET(INDIRECT("CompetitionEventList"), 0, 13, , 1)</formula1>
    </dataValidation>
    <dataValidation type="list" allowBlank="1" showInputMessage="1" showErrorMessage="1" sqref="F4:F24" xr:uid="{430D9279-AE72-4E09-AC2B-8C678AF1F390}">
      <formula1>OFFSET(Code_Result_Unit,0,1,,1)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592B-DA33-45C8-B7A6-49A928839C70}">
  <sheetPr codeName="Sheet8"/>
  <dimension ref="A1:H3"/>
  <sheetViews>
    <sheetView workbookViewId="0">
      <selection activeCell="A4" sqref="A4"/>
    </sheetView>
  </sheetViews>
  <sheetFormatPr defaultRowHeight="13.5"/>
  <sheetData>
    <row r="1" spans="1:8" ht="28.5">
      <c r="A1" s="15" t="s">
        <v>483</v>
      </c>
    </row>
    <row r="3" spans="1:8" ht="27">
      <c r="A3" s="91" t="s">
        <v>484</v>
      </c>
      <c r="B3" s="91" t="s">
        <v>485</v>
      </c>
      <c r="C3" s="91" t="s">
        <v>486</v>
      </c>
      <c r="D3" s="92" t="s">
        <v>487</v>
      </c>
      <c r="E3" s="92" t="s">
        <v>488</v>
      </c>
      <c r="F3" s="91" t="s">
        <v>489</v>
      </c>
      <c r="G3" s="91" t="s">
        <v>490</v>
      </c>
      <c r="H3" s="91" t="s">
        <v>491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C140A-2369-41D8-991A-7462C40F3DCA}">
  <sheetPr codeName="Sheet9"/>
  <dimension ref="A1"/>
  <sheetViews>
    <sheetView workbookViewId="0">
      <selection activeCell="A3" sqref="A3"/>
    </sheetView>
  </sheetViews>
  <sheetFormatPr defaultRowHeight="13.5"/>
  <sheetData>
    <row r="1" spans="1:1" ht="28.5">
      <c r="A1" s="15" t="s">
        <v>492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10</vt:i4>
      </vt:variant>
    </vt:vector>
  </HeadingPairs>
  <TitlesOfParts>
    <vt:vector size="21" baseType="lpstr">
      <vt:lpstr>コード表</vt:lpstr>
      <vt:lpstr>メッセージ表</vt:lpstr>
      <vt:lpstr>大会設定</vt:lpstr>
      <vt:lpstr>競技役員</vt:lpstr>
      <vt:lpstr>種目</vt:lpstr>
      <vt:lpstr>ラウンド</vt:lpstr>
      <vt:lpstr>チーム</vt:lpstr>
      <vt:lpstr>選手</vt:lpstr>
      <vt:lpstr>歴代記録</vt:lpstr>
      <vt:lpstr>気象状況</vt:lpstr>
      <vt:lpstr>上位入賞</vt:lpstr>
      <vt:lpstr>Code_Category</vt:lpstr>
      <vt:lpstr>Code_Event</vt:lpstr>
      <vt:lpstr>Code_Group_Strategy</vt:lpstr>
      <vt:lpstr>Code_Lane_Strategy</vt:lpstr>
      <vt:lpstr>Code_Point</vt:lpstr>
      <vt:lpstr>Code_Reaction</vt:lpstr>
      <vt:lpstr>Code_Result_Unit</vt:lpstr>
      <vt:lpstr>Code_Same_Score</vt:lpstr>
      <vt:lpstr>Code_Sex</vt:lpstr>
      <vt:lpstr>Code_Wind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平岡諒也</dc:creator>
  <cp:lastModifiedBy>Ryoya HIRAOKA</cp:lastModifiedBy>
  <dcterms:created xsi:type="dcterms:W3CDTF">2023-08-13T13:48:05Z</dcterms:created>
  <dcterms:modified xsi:type="dcterms:W3CDTF">2024-10-05T16:11:28Z</dcterms:modified>
</cp:coreProperties>
</file>